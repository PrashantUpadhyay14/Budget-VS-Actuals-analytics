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shant\Desktop\Prashant\Projects\BUDGET VS ACTUAL ANALYSIS\"/>
    </mc:Choice>
  </mc:AlternateContent>
  <xr:revisionPtr revIDLastSave="0" documentId="13_ncr:1_{29FB3DA1-C1BC-4ED1-975D-2A99F17A22E6}" xr6:coauthVersionLast="47" xr6:coauthVersionMax="47" xr10:uidLastSave="{00000000-0000-0000-0000-000000000000}"/>
  <bookViews>
    <workbookView xWindow="2895" yWindow="2895" windowWidth="21600" windowHeight="11295" xr2:uid="{3A8671B7-E7FA-4340-BD56-288D5DAA2107}"/>
  </bookViews>
  <sheets>
    <sheet name="DASHBOARD" sheetId="13" r:id="rId1"/>
    <sheet name="Budget" sheetId="4" r:id="rId2"/>
    <sheet name="Actua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3" l="1" a="1"/>
  <c r="E11" i="13" s="1"/>
  <c r="E12" i="13" a="1"/>
  <c r="E12" i="13" s="1"/>
  <c r="E13" i="13" a="1"/>
  <c r="E13" i="13" s="1"/>
  <c r="E14" i="13" a="1"/>
  <c r="E14" i="13" s="1"/>
  <c r="E15" i="13" a="1"/>
  <c r="E15" i="13" s="1"/>
  <c r="E16" i="13" a="1"/>
  <c r="E16" i="13" s="1"/>
  <c r="E17" i="13" a="1"/>
  <c r="E17" i="13" s="1"/>
  <c r="E18" i="13" a="1"/>
  <c r="E18" i="13" s="1"/>
  <c r="E19" i="13" a="1"/>
  <c r="E19" i="13" s="1"/>
  <c r="E10" i="13" a="1"/>
  <c r="E10" i="13" s="1"/>
  <c r="D11" i="13" a="1"/>
  <c r="D11" i="13" s="1"/>
  <c r="D12" i="13" a="1"/>
  <c r="D12" i="13" s="1"/>
  <c r="D13" i="13" a="1"/>
  <c r="D13" i="13" s="1"/>
  <c r="D14" i="13" a="1"/>
  <c r="D14" i="13" s="1"/>
  <c r="D15" i="13" a="1"/>
  <c r="D15" i="13" s="1"/>
  <c r="D16" i="13" a="1"/>
  <c r="D16" i="13" s="1"/>
  <c r="D17" i="13" a="1"/>
  <c r="D17" i="13" s="1"/>
  <c r="D18" i="13" a="1"/>
  <c r="D18" i="13" s="1"/>
  <c r="D19" i="13" a="1"/>
  <c r="D19" i="13" s="1"/>
  <c r="D10" i="13" a="1"/>
  <c r="D10" i="13" s="1"/>
  <c r="C11" i="13" a="1"/>
  <c r="C11" i="13" s="1"/>
  <c r="G11" i="13" s="1"/>
  <c r="C12" i="13" a="1"/>
  <c r="C12" i="13" s="1"/>
  <c r="C13" i="13" a="1"/>
  <c r="C13" i="13" s="1"/>
  <c r="F13" i="13" s="1"/>
  <c r="C14" i="13" a="1"/>
  <c r="C14" i="13" s="1"/>
  <c r="F14" i="13" s="1"/>
  <c r="C15" i="13" a="1"/>
  <c r="C15" i="13" s="1"/>
  <c r="F15" i="13" s="1"/>
  <c r="C16" i="13" a="1"/>
  <c r="C16" i="13" s="1"/>
  <c r="C17" i="13" a="1"/>
  <c r="C17" i="13" s="1"/>
  <c r="C18" i="13" a="1"/>
  <c r="C18" i="13" s="1"/>
  <c r="F18" i="13" s="1"/>
  <c r="C19" i="13" a="1"/>
  <c r="C19" i="13" s="1"/>
  <c r="C10" i="13" a="1"/>
  <c r="C10" i="13" s="1"/>
  <c r="F10" i="13" s="1"/>
  <c r="F19" i="13" l="1"/>
  <c r="F16" i="13"/>
  <c r="F17" i="13"/>
  <c r="F12" i="13"/>
  <c r="F11" i="13"/>
  <c r="G10" i="13"/>
  <c r="G19" i="13"/>
  <c r="G18" i="13"/>
  <c r="G17" i="13"/>
  <c r="G16" i="13"/>
  <c r="G15" i="13"/>
  <c r="G14" i="13"/>
  <c r="G13" i="13"/>
  <c r="G12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<sst xmlns="http://schemas.openxmlformats.org/spreadsheetml/2006/main" count="747" uniqueCount="34">
  <si>
    <t>PY</t>
  </si>
  <si>
    <t>Atlanta</t>
  </si>
  <si>
    <t>Brooklyn</t>
  </si>
  <si>
    <t>Detroit</t>
  </si>
  <si>
    <t>Huntsville</t>
  </si>
  <si>
    <t>Miami</t>
  </si>
  <si>
    <t>New York City</t>
  </si>
  <si>
    <t>Portland</t>
  </si>
  <si>
    <t>San Diego</t>
  </si>
  <si>
    <t>San Jose</t>
  </si>
  <si>
    <t>Madison</t>
  </si>
  <si>
    <t>Seattle</t>
  </si>
  <si>
    <t>Year</t>
  </si>
  <si>
    <t>Month</t>
  </si>
  <si>
    <t>November</t>
  </si>
  <si>
    <t>Plan</t>
  </si>
  <si>
    <t>Actual Sales YTD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</si>
  <si>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</si>
  <si>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</si>
  <si>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</si>
  <si>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</si>
  <si>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</si>
  <si>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</si>
  <si>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</si>
  <si>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</si>
  <si>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</si>
  <si>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</si>
  <si>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</si>
  <si>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Store Location</t>
  </si>
  <si>
    <t>Sales</t>
  </si>
  <si>
    <t>Plan Sales YTD</t>
  </si>
  <si>
    <t>Actuals</t>
  </si>
  <si>
    <t>PY%</t>
  </si>
  <si>
    <t>PL%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</si>
</sst>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ahoma"/>
      <family val="2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 val="doubleAccounting"/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Schriftart für Textkörper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8E7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</borders>
  <cellStyleXfs count="8">
    <xf numFmtId="0" fontId="0" fillId="0" borderId="0"/>
    <xf numFmtId="4" fontId="2" fillId="0" borderId="0">
      <alignment vertical="center"/>
    </xf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">
    <xf numFmtId="0" fontId="0" fillId="0" borderId="0" xfId="0"/>
    <xf numFmtId="9" fontId="0" fillId="0" borderId="0" xfId="4" applyFont="1"/>
    <xf numFmtId="165" fontId="0" fillId="0" borderId="0" xfId="3" applyNumberFormat="1" applyFont="1"/>
    <xf numFmtId="0" fontId="6" fillId="0" borderId="0" xfId="0" applyFont="1"/>
    <xf numFmtId="0" fontId="6" fillId="0" borderId="1" xfId="0" applyFont="1" applyBorder="1"/>
    <xf numFmtId="3" fontId="0" fillId="0" borderId="0" xfId="0" applyNumberFormat="1"/>
    <xf numFmtId="2" fontId="7" fillId="4" borderId="3" xfId="0" applyNumberFormat="1" applyFont="1" applyFill="1" applyBorder="1" applyAlignment="1">
      <alignment horizontal="left" indent="3"/>
    </xf>
    <xf numFmtId="2" fontId="7" fillId="5" borderId="4" xfId="0" applyNumberFormat="1" applyFont="1" applyFill="1" applyBorder="1" applyAlignment="1">
      <alignment horizontal="left" indent="3"/>
    </xf>
    <xf numFmtId="2" fontId="7" fillId="2" borderId="4" xfId="0" applyNumberFormat="1" applyFont="1" applyFill="1" applyBorder="1" applyAlignment="1">
      <alignment horizontal="left" indent="3"/>
    </xf>
    <xf numFmtId="0" fontId="6" fillId="2" borderId="0" xfId="0" applyFont="1" applyFill="1"/>
    <xf numFmtId="0" fontId="8" fillId="0" borderId="0" xfId="0" applyFont="1"/>
    <xf numFmtId="1" fontId="0" fillId="3" borderId="2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center"/>
    </xf>
  </cellXfs>
  <cellStyles count="8">
    <cellStyle name="Comma" xfId="3" builtinId="3"/>
    <cellStyle name="Hyperlink 2" xfId="6" xr:uid="{325B5BD7-7F47-466C-846E-993B2C347098}"/>
    <cellStyle name="Hyperlink 3" xfId="7" xr:uid="{7A889CC5-2372-4C29-A7AD-B1B1FC542D6B}"/>
    <cellStyle name="Normal" xfId="0" builtinId="0"/>
    <cellStyle name="Normal 2" xfId="5" xr:uid="{8B471D69-A3B1-48BD-8AD1-FB50B48A58C5}"/>
    <cellStyle name="Normal 42" xfId="2" xr:uid="{62619BCA-0BB7-4512-8FC2-98E2274F4E03}"/>
    <cellStyle name="Percent" xfId="4" builtinId="5"/>
    <cellStyle name="Standard 17" xfId="1" xr:uid="{33148D94-88F1-45D3-AC73-BA2BE0235FFD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</font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Light16"/>
  <colors>
    <mruColors>
      <color rgb="FFF8E7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Actual vs . Plan</a:t>
            </a:r>
            <a:endParaRPr lang="en-IN"/>
          </a:p>
        </c:rich>
      </c:tx>
      <c:layout>
        <c:manualLayout>
          <c:xMode val="edge"/>
          <c:yMode val="edge"/>
          <c:x val="5.1868905716958034E-2"/>
          <c:y val="2.836879432624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DASHBOARD!$C$8</c:f>
              <c:strCache>
                <c:ptCount val="1"/>
                <c:pt idx="0">
                  <c:v>Actuals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DASHBOARD!$B$9:$B$19</c:f>
              <c:strCache>
                <c:ptCount val="11"/>
                <c:pt idx="1">
                  <c:v>Atlanta</c:v>
                </c:pt>
                <c:pt idx="2">
                  <c:v>Brooklyn</c:v>
                </c:pt>
                <c:pt idx="3">
                  <c:v>Detroit</c:v>
                </c:pt>
                <c:pt idx="4">
                  <c:v>Madison</c:v>
                </c:pt>
                <c:pt idx="5">
                  <c:v>Miami</c:v>
                </c:pt>
                <c:pt idx="6">
                  <c:v>New York City</c:v>
                </c:pt>
                <c:pt idx="7">
                  <c:v>Portland</c:v>
                </c:pt>
                <c:pt idx="8">
                  <c:v>San Diego</c:v>
                </c:pt>
                <c:pt idx="9">
                  <c:v>San Jose</c:v>
                </c:pt>
                <c:pt idx="10">
                  <c:v>Seattle</c:v>
                </c:pt>
              </c:strCache>
            </c:strRef>
          </c:cat>
          <c:val>
            <c:numRef>
              <c:f>DASHBOARD!$C$9:$C$19</c:f>
              <c:numCache>
                <c:formatCode>#,##0</c:formatCode>
                <c:ptCount val="11"/>
                <c:pt idx="1">
                  <c:v>194896</c:v>
                </c:pt>
                <c:pt idx="2">
                  <c:v>1346275</c:v>
                </c:pt>
                <c:pt idx="3">
                  <c:v>338795</c:v>
                </c:pt>
                <c:pt idx="4">
                  <c:v>620160</c:v>
                </c:pt>
                <c:pt idx="5">
                  <c:v>732022</c:v>
                </c:pt>
                <c:pt idx="6">
                  <c:v>885406</c:v>
                </c:pt>
                <c:pt idx="7">
                  <c:v>1525673</c:v>
                </c:pt>
                <c:pt idx="8">
                  <c:v>1148750</c:v>
                </c:pt>
                <c:pt idx="9">
                  <c:v>1224085</c:v>
                </c:pt>
                <c:pt idx="10">
                  <c:v>1072499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1-4875-B118-F124C93FD379}"/>
            </c:ext>
          </c:extLst>
        </c:ser>
        <c:ser>
          <c:idx val="1"/>
          <c:order val="1"/>
          <c:tx>
            <c:strRef>
              <c:f>DASHBOARD!$E$8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DASHBOARD!$B$9:$B$19</c:f>
              <c:strCache>
                <c:ptCount val="11"/>
                <c:pt idx="1">
                  <c:v>Atlanta</c:v>
                </c:pt>
                <c:pt idx="2">
                  <c:v>Brooklyn</c:v>
                </c:pt>
                <c:pt idx="3">
                  <c:v>Detroit</c:v>
                </c:pt>
                <c:pt idx="4">
                  <c:v>Madison</c:v>
                </c:pt>
                <c:pt idx="5">
                  <c:v>Miami</c:v>
                </c:pt>
                <c:pt idx="6">
                  <c:v>New York City</c:v>
                </c:pt>
                <c:pt idx="7">
                  <c:v>Portland</c:v>
                </c:pt>
                <c:pt idx="8">
                  <c:v>San Diego</c:v>
                </c:pt>
                <c:pt idx="9">
                  <c:v>San Jose</c:v>
                </c:pt>
                <c:pt idx="10">
                  <c:v>Seattle</c:v>
                </c:pt>
              </c:strCache>
            </c:strRef>
          </c:cat>
          <c:val>
            <c:numRef>
              <c:f>DASHBOARD!$E$9:$E$19</c:f>
              <c:numCache>
                <c:formatCode>#,##0</c:formatCode>
                <c:ptCount val="11"/>
                <c:pt idx="1">
                  <c:v>208107</c:v>
                </c:pt>
                <c:pt idx="2">
                  <c:v>1415331</c:v>
                </c:pt>
                <c:pt idx="3">
                  <c:v>306293</c:v>
                </c:pt>
                <c:pt idx="4">
                  <c:v>584273</c:v>
                </c:pt>
                <c:pt idx="5">
                  <c:v>781817</c:v>
                </c:pt>
                <c:pt idx="6">
                  <c:v>809203</c:v>
                </c:pt>
                <c:pt idx="7">
                  <c:v>1667707</c:v>
                </c:pt>
                <c:pt idx="8">
                  <c:v>1049865</c:v>
                </c:pt>
                <c:pt idx="9">
                  <c:v>1338893</c:v>
                </c:pt>
                <c:pt idx="10">
                  <c:v>1176171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1-4875-B118-F124C93FD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065791"/>
        <c:axId val="240072031"/>
      </c:barChart>
      <c:catAx>
        <c:axId val="24006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072031"/>
        <c:crosses val="autoZero"/>
        <c:auto val="1"/>
        <c:lblAlgn val="ctr"/>
        <c:lblOffset val="100"/>
        <c:noMultiLvlLbl val="0"/>
      </c:catAx>
      <c:valAx>
        <c:axId val="24007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06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684020775682773"/>
          <c:y val="3.6051451015431536E-2"/>
          <c:w val="0.17742650314876912"/>
          <c:h val="8.0357705286839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9597112860892356E-2"/>
          <c:y val="0.44444444444444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73203925456069"/>
          <c:y val="0.17634259259259263"/>
          <c:w val="0.7975742195896498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DASHBOARD!$F$8:$F$9</c:f>
              <c:strCache>
                <c:ptCount val="2"/>
                <c:pt idx="0">
                  <c:v>PY%</c:v>
                </c:pt>
              </c:strCache>
            </c:strRef>
          </c:tx>
          <c:spPr>
            <a:solidFill>
              <a:srgbClr val="D9F2D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DASHBOARD!$B$10:$B$19</c:f>
              <c:strCache>
                <c:ptCount val="10"/>
                <c:pt idx="0">
                  <c:v>Atlanta</c:v>
                </c:pt>
                <c:pt idx="1">
                  <c:v>Brooklyn</c:v>
                </c:pt>
                <c:pt idx="2">
                  <c:v>Detroit</c:v>
                </c:pt>
                <c:pt idx="3">
                  <c:v>Madison</c:v>
                </c:pt>
                <c:pt idx="4">
                  <c:v>Miami</c:v>
                </c:pt>
                <c:pt idx="5">
                  <c:v>New York City</c:v>
                </c:pt>
                <c:pt idx="6">
                  <c:v>Portland</c:v>
                </c:pt>
                <c:pt idx="7">
                  <c:v>San Diego</c:v>
                </c:pt>
                <c:pt idx="8">
                  <c:v>San Jose</c:v>
                </c:pt>
                <c:pt idx="9">
                  <c:v>Seattle</c:v>
                </c:pt>
              </c:strCache>
            </c:strRef>
          </c:cat>
          <c:val>
            <c:numRef>
              <c:f>DASHBOARD!$F$10:$F$19</c:f>
              <c:numCache>
                <c:formatCode>0%</c:formatCode>
                <c:ptCount val="10"/>
                <c:pt idx="0">
                  <c:v>0.13355124640850558</c:v>
                </c:pt>
                <c:pt idx="1">
                  <c:v>0.11962113639123184</c:v>
                </c:pt>
                <c:pt idx="2">
                  <c:v>-3.239856171406208E-2</c:v>
                </c:pt>
                <c:pt idx="3">
                  <c:v>0.23126283061797426</c:v>
                </c:pt>
                <c:pt idx="4">
                  <c:v>9.4623794192985944E-2</c:v>
                </c:pt>
                <c:pt idx="5">
                  <c:v>9.7636143646299356E-2</c:v>
                </c:pt>
                <c:pt idx="6">
                  <c:v>0.1352493842593625</c:v>
                </c:pt>
                <c:pt idx="7">
                  <c:v>9.4963216861337463E-2</c:v>
                </c:pt>
                <c:pt idx="8">
                  <c:v>0.11879314000760433</c:v>
                </c:pt>
                <c:pt idx="9">
                  <c:v>0.1010808568829682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BE3D6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BDB-4743-A1A5-2CFD7C518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240703"/>
        <c:axId val="239237823"/>
      </c:barChart>
      <c:catAx>
        <c:axId val="23924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37823"/>
        <c:crosses val="autoZero"/>
        <c:auto val="1"/>
        <c:lblAlgn val="ctr"/>
        <c:lblOffset val="100"/>
        <c:noMultiLvlLbl val="0"/>
      </c:catAx>
      <c:valAx>
        <c:axId val="23923782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3924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508528</xdr:colOff>
      <xdr:row>2</xdr:row>
      <xdr:rowOff>100013</xdr:rowOff>
    </xdr:to>
    <xdr:pic>
      <xdr:nvPicPr>
        <xdr:cNvPr id="2" name="Google Shape;402;p32" descr="A set of colorful rectangles&#10;&#10;Description automatically generated">
          <a:extLst>
            <a:ext uri="{FF2B5EF4-FFF2-40B4-BE49-F238E27FC236}">
              <a16:creationId xmlns:a16="http://schemas.microsoft.com/office/drawing/2014/main" id="{27498978-4398-4C3D-9614-803E7E7D280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 l="54494" t="40454" r="-8142" b="39202"/>
        <a:stretch/>
      </xdr:blipFill>
      <xdr:spPr>
        <a:xfrm>
          <a:off x="0" y="0"/>
          <a:ext cx="11005078" cy="57626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276225</xdr:colOff>
      <xdr:row>0</xdr:row>
      <xdr:rowOff>66675</xdr:rowOff>
    </xdr:from>
    <xdr:to>
      <xdr:col>3</xdr:col>
      <xdr:colOff>1247798</xdr:colOff>
      <xdr:row>2</xdr:row>
      <xdr:rowOff>17182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032DF5-BCD8-4CF8-97D0-538C84967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" y="66675"/>
          <a:ext cx="4657748" cy="426757"/>
        </a:xfrm>
        <a:prstGeom prst="rect">
          <a:avLst/>
        </a:prstGeom>
      </xdr:spPr>
    </xdr:pic>
    <xdr:clientData/>
  </xdr:twoCellAnchor>
  <xdr:twoCellAnchor>
    <xdr:from>
      <xdr:col>7</xdr:col>
      <xdr:colOff>385761</xdr:colOff>
      <xdr:row>6</xdr:row>
      <xdr:rowOff>228600</xdr:rowOff>
    </xdr:from>
    <xdr:to>
      <xdr:col>13</xdr:col>
      <xdr:colOff>733424</xdr:colOff>
      <xdr:row>18</xdr:row>
      <xdr:rowOff>209550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29E741-B639-4F21-5371-02C5A42EF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614361</xdr:colOff>
      <xdr:row>15</xdr:row>
      <xdr:rowOff>95250</xdr:rowOff>
    </xdr:from>
    <xdr:to>
      <xdr:col>13</xdr:col>
      <xdr:colOff>809624</xdr:colOff>
      <xdr:row>26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11ABFE-A7C1-0F94-B044-D99B422A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F2E307-25BF-4B43-939D-AF48846B86F4}" name="TSales" displayName="TSales" ref="A3:D353" totalsRowShown="0" headerRowDxfId="3" dataDxfId="2" dataCellStyle="Comma">
  <autoFilter ref="A3:D353" xr:uid="{81F2E307-25BF-4B43-939D-AF48846B86F4}"/>
  <tableColumns count="4">
    <tableColumn id="1" xr3:uid="{4C5F18BD-0810-4E4E-93B1-5351592FB76A}" name="Year"/>
    <tableColumn id="2" xr3:uid="{40AB3A30-272A-46E4-91C1-09D6D46439E3}" name="Month"/>
    <tableColumn id="3" xr3:uid="{9AF30B0A-96D2-4AD7-BD13-971EFF1E8923}" name="Store Location" dataDxfId="1" dataCellStyle="Comma"/>
    <tableColumn id="4" xr3:uid="{FB217E9D-E8D1-47EC-A3CD-F72AC09D302A}" name="Sales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ACBD-988C-45C3-8EB3-AD5383A3E81B}">
  <dimension ref="B5:G19"/>
  <sheetViews>
    <sheetView showGridLines="0" tabSelected="1" zoomScaleNormal="100" workbookViewId="0">
      <selection activeCell="C10" sqref="C10"/>
    </sheetView>
  </sheetViews>
  <sheetFormatPr defaultRowHeight="18.75"/>
  <cols>
    <col min="2" max="2" width="13.5" customWidth="1"/>
    <col min="3" max="3" width="16.3984375" customWidth="1"/>
    <col min="4" max="4" width="13.796875" customWidth="1"/>
    <col min="5" max="5" width="16.5" customWidth="1"/>
    <col min="6" max="6" width="7.796875" customWidth="1"/>
    <col min="7" max="7" width="7" customWidth="1"/>
  </cols>
  <sheetData>
    <row r="5" spans="2:7" ht="19.5" thickBot="1">
      <c r="B5" s="11" t="s">
        <v>12</v>
      </c>
      <c r="C5" s="11">
        <v>2023</v>
      </c>
    </row>
    <row r="6" spans="2:7" ht="19.5" thickTop="1">
      <c r="B6" s="13" t="s">
        <v>13</v>
      </c>
      <c r="C6" s="14" t="s">
        <v>17</v>
      </c>
    </row>
    <row r="8" spans="2:7" ht="19.5" thickBot="1">
      <c r="C8" s="15" t="s">
        <v>31</v>
      </c>
      <c r="D8" s="15" t="s">
        <v>0</v>
      </c>
      <c r="E8" s="15" t="s">
        <v>15</v>
      </c>
      <c r="F8" s="15" t="s">
        <v>32</v>
      </c>
      <c r="G8" s="15" t="s">
        <v>33</v>
      </c>
    </row>
    <row r="9" spans="2:7" ht="4.5" customHeight="1" thickTop="1">
      <c r="C9" s="6"/>
      <c r="D9" s="7"/>
      <c r="E9" s="8"/>
      <c r="F9" s="7"/>
      <c r="G9" s="8"/>
    </row>
    <row r="10" spans="2:7">
      <c r="B10" s="10" t="s">
        <v>1</v>
      </c>
      <c r="C10" s="5" cm="1">
        <f t="array" ref="C10">_xlfn.XLOOKUP($C$5&amp;$C$6&amp;B10,TSales[Year]&amp;TSales[Month]&amp;TSales[Store Location],TSales[Sales],"")</f>
        <v>194896</v>
      </c>
      <c r="D10" s="5" cm="1">
        <f t="array" ref="D10">_xlfn.XLOOKUP($C$5-1&amp;$C$6&amp;B10,TSales[Year]&amp;TSales[Month]&amp;TSales[Store Location],TSales[Sales],"")</f>
        <v>171934</v>
      </c>
      <c r="E10" s="5" cm="1">
        <f t="array" ref="E10">_xlfn.XLOOKUP(B10,Budget!$A$3:$A$13,_xlfn.XLOOKUP($C$6,Budget!$B$2:$M$2,Budget!$B$3:$M$13),"")</f>
        <v>208107</v>
      </c>
      <c r="F10" s="1">
        <f>IFERROR(C10/D10-1,"")</f>
        <v>0.13355124640850558</v>
      </c>
      <c r="G10" s="1">
        <f>IFERROR(C10/E10-1,"")</f>
        <v>-6.3481766591224731E-2</v>
      </c>
    </row>
    <row r="11" spans="2:7">
      <c r="B11" s="10" t="s">
        <v>2</v>
      </c>
      <c r="C11" s="5" cm="1">
        <f t="array" ref="C11">_xlfn.XLOOKUP($C$5&amp;$C$6&amp;B11,TSales[Year]&amp;TSales[Month]&amp;TSales[Store Location],TSales[Sales],"")</f>
        <v>1346275</v>
      </c>
      <c r="D11" s="5" cm="1">
        <f t="array" ref="D11">_xlfn.XLOOKUP($C$5-1&amp;$C$6&amp;B11,TSales[Year]&amp;TSales[Month]&amp;TSales[Store Location],TSales[Sales],"")</f>
        <v>1202438</v>
      </c>
      <c r="E11" s="5" cm="1">
        <f t="array" ref="E11">_xlfn.XLOOKUP(B11,Budget!$A$3:$A$13,_xlfn.XLOOKUP($C$6,Budget!$B$2:$M$2,Budget!$B$3:$M$13),"")</f>
        <v>1415331</v>
      </c>
      <c r="F11" s="1">
        <f t="shared" ref="F11:F19" si="0">C11/D11-1</f>
        <v>0.11962113639123184</v>
      </c>
      <c r="G11" s="1">
        <f t="shared" ref="G11:G19" si="1">IFERROR(C11/E11-1,"")</f>
        <v>-4.8791413457346722E-2</v>
      </c>
    </row>
    <row r="12" spans="2:7">
      <c r="B12" s="10" t="s">
        <v>3</v>
      </c>
      <c r="C12" s="5" cm="1">
        <f t="array" ref="C12">_xlfn.XLOOKUP($C$5&amp;$C$6&amp;B12,TSales[Year]&amp;TSales[Month]&amp;TSales[Store Location],TSales[Sales],"")</f>
        <v>338795</v>
      </c>
      <c r="D12" s="5" cm="1">
        <f t="array" ref="D12">_xlfn.XLOOKUP($C$5-1&amp;$C$6&amp;B12,TSales[Year]&amp;TSales[Month]&amp;TSales[Store Location],TSales[Sales],"")</f>
        <v>350139</v>
      </c>
      <c r="E12" s="5" cm="1">
        <f t="array" ref="E12">_xlfn.XLOOKUP(B12,Budget!$A$3:$A$13,_xlfn.XLOOKUP($C$6,Budget!$B$2:$M$2,Budget!$B$3:$M$13),"")</f>
        <v>306293</v>
      </c>
      <c r="F12" s="1">
        <f t="shared" si="0"/>
        <v>-3.239856171406208E-2</v>
      </c>
      <c r="G12" s="1">
        <f t="shared" si="1"/>
        <v>0.10611408030872393</v>
      </c>
    </row>
    <row r="13" spans="2:7">
      <c r="B13" s="10" t="s">
        <v>10</v>
      </c>
      <c r="C13" s="5" cm="1">
        <f t="array" ref="C13">_xlfn.XLOOKUP($C$5&amp;$C$6&amp;B13,TSales[Year]&amp;TSales[Month]&amp;TSales[Store Location],TSales[Sales],"")</f>
        <v>620160</v>
      </c>
      <c r="D13" s="5" cm="1">
        <f t="array" ref="D13">_xlfn.XLOOKUP($C$5-1&amp;$C$6&amp;B13,TSales[Year]&amp;TSales[Month]&amp;TSales[Store Location],TSales[Sales],"")</f>
        <v>503678</v>
      </c>
      <c r="E13" s="5" cm="1">
        <f t="array" ref="E13">_xlfn.XLOOKUP(B13,Budget!$A$3:$A$13,_xlfn.XLOOKUP($C$6,Budget!$B$2:$M$2,Budget!$B$3:$M$13),"")</f>
        <v>584273</v>
      </c>
      <c r="F13" s="1">
        <f t="shared" si="0"/>
        <v>0.23126283061797426</v>
      </c>
      <c r="G13" s="1">
        <f t="shared" si="1"/>
        <v>6.1421629957228996E-2</v>
      </c>
    </row>
    <row r="14" spans="2:7">
      <c r="B14" s="10" t="s">
        <v>5</v>
      </c>
      <c r="C14" s="5" cm="1">
        <f t="array" ref="C14">_xlfn.XLOOKUP($C$5&amp;$C$6&amp;B14,TSales[Year]&amp;TSales[Month]&amp;TSales[Store Location],TSales[Sales],"")</f>
        <v>732022</v>
      </c>
      <c r="D14" s="5" cm="1">
        <f t="array" ref="D14">_xlfn.XLOOKUP($C$5-1&amp;$C$6&amp;B14,TSales[Year]&amp;TSales[Month]&amp;TSales[Store Location],TSales[Sales],"")</f>
        <v>668743</v>
      </c>
      <c r="E14" s="5" cm="1">
        <f t="array" ref="E14">_xlfn.XLOOKUP(B14,Budget!$A$3:$A$13,_xlfn.XLOOKUP($C$6,Budget!$B$2:$M$2,Budget!$B$3:$M$13),"")</f>
        <v>781817</v>
      </c>
      <c r="F14" s="1">
        <f t="shared" si="0"/>
        <v>9.4623794192985944E-2</v>
      </c>
      <c r="G14" s="1">
        <f t="shared" si="1"/>
        <v>-6.3691375347427859E-2</v>
      </c>
    </row>
    <row r="15" spans="2:7">
      <c r="B15" s="10" t="s">
        <v>6</v>
      </c>
      <c r="C15" s="5" cm="1">
        <f t="array" ref="C15">_xlfn.XLOOKUP($C$5&amp;$C$6&amp;B15,TSales[Year]&amp;TSales[Month]&amp;TSales[Store Location],TSales[Sales],"")</f>
        <v>885406</v>
      </c>
      <c r="D15" s="5" cm="1">
        <f t="array" ref="D15">_xlfn.XLOOKUP($C$5-1&amp;$C$6&amp;B15,TSales[Year]&amp;TSales[Month]&amp;TSales[Store Location],TSales[Sales],"")</f>
        <v>806648</v>
      </c>
      <c r="E15" s="5" cm="1">
        <f t="array" ref="E15">_xlfn.XLOOKUP(B15,Budget!$A$3:$A$13,_xlfn.XLOOKUP($C$6,Budget!$B$2:$M$2,Budget!$B$3:$M$13),"")</f>
        <v>809203</v>
      </c>
      <c r="F15" s="1">
        <f t="shared" si="0"/>
        <v>9.7636143646299356E-2</v>
      </c>
      <c r="G15" s="1">
        <f t="shared" si="1"/>
        <v>9.4170436837233584E-2</v>
      </c>
    </row>
    <row r="16" spans="2:7">
      <c r="B16" s="10" t="s">
        <v>7</v>
      </c>
      <c r="C16" s="5" cm="1">
        <f t="array" ref="C16">_xlfn.XLOOKUP($C$5&amp;$C$6&amp;B16,TSales[Year]&amp;TSales[Month]&amp;TSales[Store Location],TSales[Sales],"")</f>
        <v>1525673</v>
      </c>
      <c r="D16" s="5" cm="1">
        <f t="array" ref="D16">_xlfn.XLOOKUP($C$5-1&amp;$C$6&amp;B16,TSales[Year]&amp;TSales[Month]&amp;TSales[Store Location],TSales[Sales],"")</f>
        <v>1343910</v>
      </c>
      <c r="E16" s="5" cm="1">
        <f t="array" ref="E16">_xlfn.XLOOKUP(B16,Budget!$A$3:$A$13,_xlfn.XLOOKUP($C$6,Budget!$B$2:$M$2,Budget!$B$3:$M$13),"")</f>
        <v>1667707</v>
      </c>
      <c r="F16" s="1">
        <f t="shared" si="0"/>
        <v>0.1352493842593625</v>
      </c>
      <c r="G16" s="1">
        <f t="shared" si="1"/>
        <v>-8.5167238609659801E-2</v>
      </c>
    </row>
    <row r="17" spans="2:7">
      <c r="B17" s="10" t="s">
        <v>8</v>
      </c>
      <c r="C17" s="5" cm="1">
        <f t="array" ref="C17">_xlfn.XLOOKUP($C$5&amp;$C$6&amp;B17,TSales[Year]&amp;TSales[Month]&amp;TSales[Store Location],TSales[Sales],"")</f>
        <v>1148750</v>
      </c>
      <c r="D17" s="5" cm="1">
        <f t="array" ref="D17">_xlfn.XLOOKUP($C$5-1&amp;$C$6&amp;B17,TSales[Year]&amp;TSales[Month]&amp;TSales[Store Location],TSales[Sales],"")</f>
        <v>1049122</v>
      </c>
      <c r="E17" s="5" cm="1">
        <f t="array" ref="E17">_xlfn.XLOOKUP(B17,Budget!$A$3:$A$13,_xlfn.XLOOKUP($C$6,Budget!$B$2:$M$2,Budget!$B$3:$M$13),"")</f>
        <v>1049865</v>
      </c>
      <c r="F17" s="1">
        <f t="shared" si="0"/>
        <v>9.4963216861337463E-2</v>
      </c>
      <c r="G17" s="1">
        <f t="shared" si="1"/>
        <v>9.4188300400527725E-2</v>
      </c>
    </row>
    <row r="18" spans="2:7">
      <c r="B18" s="10" t="s">
        <v>9</v>
      </c>
      <c r="C18" s="5" cm="1">
        <f t="array" ref="C18">_xlfn.XLOOKUP($C$5&amp;$C$6&amp;B18,TSales[Year]&amp;TSales[Month]&amp;TSales[Store Location],TSales[Sales],"")</f>
        <v>1224085</v>
      </c>
      <c r="D18" s="5" cm="1">
        <f t="array" ref="D18">_xlfn.XLOOKUP($C$5-1&amp;$C$6&amp;B18,TSales[Year]&amp;TSales[Month]&amp;TSales[Store Location],TSales[Sales],"")</f>
        <v>1094112</v>
      </c>
      <c r="E18" s="5" cm="1">
        <f t="array" ref="E18">_xlfn.XLOOKUP(B18,Budget!$A$3:$A$13,_xlfn.XLOOKUP($C$6,Budget!$B$2:$M$2,Budget!$B$3:$M$13),"")</f>
        <v>1338893</v>
      </c>
      <c r="F18" s="1">
        <f t="shared" si="0"/>
        <v>0.11879314000760433</v>
      </c>
      <c r="G18" s="1">
        <f t="shared" si="1"/>
        <v>-8.5748450398948961E-2</v>
      </c>
    </row>
    <row r="19" spans="2:7">
      <c r="B19" s="10" t="s">
        <v>11</v>
      </c>
      <c r="C19" s="5" cm="1">
        <f t="array" ref="C19">_xlfn.XLOOKUP($C$5&amp;$C$6&amp;B19,TSales[Year]&amp;TSales[Month]&amp;TSales[Store Location],TSales[Sales],"")</f>
        <v>1072499</v>
      </c>
      <c r="D19" s="5" cm="1">
        <f t="array" ref="D19">_xlfn.XLOOKUP($C$5-1&amp;$C$6&amp;B19,TSales[Year]&amp;TSales[Month]&amp;TSales[Store Location],TSales[Sales],"")</f>
        <v>974042</v>
      </c>
      <c r="E19" s="5" cm="1">
        <f t="array" ref="E19">_xlfn.XLOOKUP(B19,Budget!$A$3:$A$13,_xlfn.XLOOKUP($C$6,Budget!$B$2:$M$2,Budget!$B$3:$M$13),"")</f>
        <v>1176171</v>
      </c>
      <c r="F19" s="1">
        <f t="shared" si="0"/>
        <v>0.1010808568829682</v>
      </c>
      <c r="G19" s="1">
        <f t="shared" si="1"/>
        <v>-8.8143645779397706E-2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CA2E11-4C42-4F27-B34E-3B3FDE33213D}">
          <x14:formula1>
            <xm:f>Budget!$B$2:$M$2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A9F1-7677-4362-974B-A507777D92B7}">
  <sheetPr>
    <tabColor theme="0" tint="-4.9989318521683403E-2"/>
  </sheetPr>
  <dimension ref="A1:M13"/>
  <sheetViews>
    <sheetView topLeftCell="A3" workbookViewId="0">
      <selection activeCell="M9" sqref="M9"/>
    </sheetView>
  </sheetViews>
  <sheetFormatPr defaultColWidth="8.59765625" defaultRowHeight="18.75"/>
  <cols>
    <col min="1" max="1" width="14.296875" customWidth="1"/>
    <col min="2" max="7" width="8.8984375" bestFit="1" customWidth="1"/>
    <col min="8" max="13" width="10.3984375" bestFit="1" customWidth="1"/>
  </cols>
  <sheetData>
    <row r="1" spans="1:13">
      <c r="A1" s="16" t="s">
        <v>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4" customHeight="1"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14</v>
      </c>
      <c r="M2" s="4" t="s">
        <v>27</v>
      </c>
    </row>
    <row r="3" spans="1:13">
      <c r="A3" s="3" t="s">
        <v>7</v>
      </c>
      <c r="B3" s="5">
        <v>1667707</v>
      </c>
      <c r="C3" s="5">
        <v>2908125</v>
      </c>
      <c r="D3" s="5">
        <v>5027576</v>
      </c>
      <c r="E3" s="5">
        <v>6121332</v>
      </c>
      <c r="F3" s="5">
        <v>8755974</v>
      </c>
      <c r="G3" s="5">
        <v>8662153</v>
      </c>
      <c r="H3" s="5">
        <v>12070430</v>
      </c>
      <c r="I3" s="5">
        <v>11317472</v>
      </c>
      <c r="J3" s="5">
        <v>14638278</v>
      </c>
      <c r="K3" s="5">
        <v>13644029</v>
      </c>
      <c r="L3" s="5">
        <v>16742788</v>
      </c>
      <c r="M3" s="5">
        <v>19929457</v>
      </c>
    </row>
    <row r="4" spans="1:13">
      <c r="A4" s="3" t="s">
        <v>6</v>
      </c>
      <c r="B4" s="5">
        <v>809203</v>
      </c>
      <c r="C4" s="5">
        <v>1757427</v>
      </c>
      <c r="D4" s="5">
        <v>2605450</v>
      </c>
      <c r="E4" s="5">
        <v>3488426</v>
      </c>
      <c r="F4" s="5">
        <v>4361621</v>
      </c>
      <c r="G4" s="5">
        <v>4945056</v>
      </c>
      <c r="H4" s="5">
        <v>5897188</v>
      </c>
      <c r="I4" s="5">
        <v>6570932</v>
      </c>
      <c r="J4" s="5">
        <v>6516239</v>
      </c>
      <c r="K4" s="5">
        <v>7944954</v>
      </c>
      <c r="L4" s="5">
        <v>9502914</v>
      </c>
      <c r="M4" s="5">
        <v>10521798</v>
      </c>
    </row>
    <row r="5" spans="1:13">
      <c r="A5" s="3" t="s">
        <v>3</v>
      </c>
      <c r="B5" s="5">
        <v>306293</v>
      </c>
      <c r="C5" s="5">
        <v>686233</v>
      </c>
      <c r="D5" s="5">
        <v>1104220</v>
      </c>
      <c r="E5" s="5">
        <v>1390344</v>
      </c>
      <c r="F5" s="5">
        <v>1661143</v>
      </c>
      <c r="G5" s="5">
        <v>1933031</v>
      </c>
      <c r="H5" s="5">
        <v>2224833</v>
      </c>
      <c r="I5" s="5">
        <v>2629282</v>
      </c>
      <c r="J5" s="5">
        <v>2837309</v>
      </c>
      <c r="K5" s="5">
        <v>2939853</v>
      </c>
      <c r="L5" s="5">
        <v>3248233</v>
      </c>
      <c r="M5" s="5">
        <v>4215241</v>
      </c>
    </row>
    <row r="6" spans="1:13">
      <c r="A6" s="3" t="s">
        <v>10</v>
      </c>
      <c r="B6" s="5">
        <v>584273</v>
      </c>
      <c r="C6" s="5">
        <v>1176322</v>
      </c>
      <c r="D6" s="5">
        <v>1879280</v>
      </c>
      <c r="E6" s="5">
        <v>2348307</v>
      </c>
      <c r="F6" s="5">
        <v>2984446</v>
      </c>
      <c r="G6" s="5">
        <v>3472599</v>
      </c>
      <c r="H6" s="5">
        <v>4025906</v>
      </c>
      <c r="I6" s="5">
        <v>4583239</v>
      </c>
      <c r="J6" s="5">
        <v>5148418</v>
      </c>
      <c r="K6" s="5">
        <v>5494338</v>
      </c>
      <c r="L6" s="5">
        <v>6069339</v>
      </c>
      <c r="M6" s="5">
        <v>7972281</v>
      </c>
    </row>
    <row r="7" spans="1:13">
      <c r="A7" s="3" t="s">
        <v>1</v>
      </c>
      <c r="B7" s="5">
        <v>208107</v>
      </c>
      <c r="C7" s="5">
        <v>468088</v>
      </c>
      <c r="D7" s="5">
        <v>713428</v>
      </c>
      <c r="E7" s="5">
        <v>871243</v>
      </c>
      <c r="F7" s="5">
        <v>1091019</v>
      </c>
      <c r="G7" s="5">
        <v>1247273</v>
      </c>
      <c r="H7" s="5">
        <v>1469125</v>
      </c>
      <c r="I7" s="5">
        <v>1706361</v>
      </c>
      <c r="J7" s="5">
        <v>1741961</v>
      </c>
      <c r="K7" s="5">
        <v>1937902</v>
      </c>
      <c r="L7" s="5">
        <v>2080682</v>
      </c>
      <c r="M7" s="5">
        <v>3084994</v>
      </c>
    </row>
    <row r="8" spans="1:13">
      <c r="A8" s="3" t="s">
        <v>11</v>
      </c>
      <c r="B8" s="5">
        <v>1176171</v>
      </c>
      <c r="C8" s="5">
        <v>2044758</v>
      </c>
      <c r="D8" s="5">
        <v>3601444</v>
      </c>
      <c r="E8" s="5">
        <v>4206994</v>
      </c>
      <c r="F8" s="5">
        <v>5982299</v>
      </c>
      <c r="G8" s="5">
        <v>6147547</v>
      </c>
      <c r="H8" s="5">
        <v>8274725</v>
      </c>
      <c r="I8" s="5">
        <v>7995692</v>
      </c>
      <c r="J8" s="5">
        <v>10444674</v>
      </c>
      <c r="K8" s="5">
        <v>9495560</v>
      </c>
      <c r="L8" s="5">
        <v>12238600</v>
      </c>
      <c r="M8" s="5">
        <v>18099391</v>
      </c>
    </row>
    <row r="9" spans="1:13">
      <c r="A9" s="3" t="s">
        <v>8</v>
      </c>
      <c r="B9" s="5">
        <v>1049865</v>
      </c>
      <c r="C9" s="5">
        <v>2127118</v>
      </c>
      <c r="D9" s="5">
        <v>3348859</v>
      </c>
      <c r="E9" s="5">
        <v>4687512</v>
      </c>
      <c r="F9" s="5">
        <v>5542303</v>
      </c>
      <c r="G9" s="5">
        <v>6351207</v>
      </c>
      <c r="H9" s="5">
        <v>7626123</v>
      </c>
      <c r="I9" s="5">
        <v>8552845</v>
      </c>
      <c r="J9" s="5">
        <v>9518320</v>
      </c>
      <c r="K9" s="5">
        <v>10190477</v>
      </c>
      <c r="L9" s="5">
        <v>10835588</v>
      </c>
      <c r="M9" s="5">
        <v>11889843</v>
      </c>
    </row>
    <row r="10" spans="1:13">
      <c r="A10" s="3" t="s">
        <v>9</v>
      </c>
      <c r="B10" s="5">
        <v>1338893</v>
      </c>
      <c r="C10" s="5">
        <v>2718291</v>
      </c>
      <c r="D10" s="5">
        <v>4191763</v>
      </c>
      <c r="E10" s="5">
        <v>5746493</v>
      </c>
      <c r="F10" s="5">
        <v>6988868</v>
      </c>
      <c r="G10" s="5">
        <v>7944873</v>
      </c>
      <c r="H10" s="5">
        <v>9470511</v>
      </c>
      <c r="I10" s="5">
        <v>1085106</v>
      </c>
      <c r="J10" s="5">
        <v>12013626</v>
      </c>
      <c r="K10" s="5">
        <v>11467461</v>
      </c>
      <c r="L10" s="5">
        <v>12698777</v>
      </c>
      <c r="M10" s="5">
        <v>14883975</v>
      </c>
    </row>
    <row r="11" spans="1:13">
      <c r="A11" s="3" t="s">
        <v>2</v>
      </c>
      <c r="B11" s="5">
        <v>1415331</v>
      </c>
      <c r="C11" s="5">
        <v>2575354</v>
      </c>
      <c r="D11" s="5">
        <v>4665341</v>
      </c>
      <c r="E11" s="5">
        <v>5344323</v>
      </c>
      <c r="F11" s="5">
        <v>7521444</v>
      </c>
      <c r="G11" s="5">
        <v>7490948</v>
      </c>
      <c r="H11" s="5">
        <v>10687954</v>
      </c>
      <c r="I11" s="5">
        <v>10278390</v>
      </c>
      <c r="J11" s="5">
        <v>13264208</v>
      </c>
      <c r="K11" s="5">
        <v>12164713</v>
      </c>
      <c r="L11" s="5">
        <v>15148551</v>
      </c>
      <c r="M11" s="5">
        <v>18401639</v>
      </c>
    </row>
    <row r="12" spans="1:13">
      <c r="A12" s="3" t="s">
        <v>5</v>
      </c>
      <c r="B12" s="5">
        <v>781817</v>
      </c>
      <c r="C12" s="5">
        <v>1698978</v>
      </c>
      <c r="D12" s="5">
        <v>2599511</v>
      </c>
      <c r="E12" s="5">
        <v>3358872</v>
      </c>
      <c r="F12" s="5">
        <v>4115838</v>
      </c>
      <c r="G12" s="5">
        <v>4968835</v>
      </c>
      <c r="H12" s="5">
        <v>5700396</v>
      </c>
      <c r="I12" s="5">
        <v>6733519</v>
      </c>
      <c r="J12" s="5">
        <v>7401702</v>
      </c>
      <c r="K12" s="5">
        <v>7841878</v>
      </c>
      <c r="L12" s="5">
        <v>8499672</v>
      </c>
      <c r="M12" s="5">
        <v>9522394</v>
      </c>
    </row>
    <row r="13" spans="1:13">
      <c r="A13" s="3" t="s">
        <v>4</v>
      </c>
      <c r="B13" s="5">
        <v>420966</v>
      </c>
      <c r="C13" s="5">
        <v>813226</v>
      </c>
      <c r="D13" s="5">
        <v>1510021</v>
      </c>
      <c r="E13" s="5">
        <v>1683220</v>
      </c>
      <c r="F13" s="5">
        <v>2322307</v>
      </c>
      <c r="G13" s="5">
        <v>2363189</v>
      </c>
      <c r="H13" s="5">
        <v>3264619</v>
      </c>
      <c r="I13" s="5">
        <v>3101356</v>
      </c>
      <c r="J13" s="5">
        <v>3928299</v>
      </c>
      <c r="K13" s="5">
        <v>3653798</v>
      </c>
      <c r="L13" s="5">
        <v>4524370</v>
      </c>
      <c r="M13" s="5">
        <v>5276271</v>
      </c>
    </row>
  </sheetData>
  <mergeCells count="1">
    <mergeCell ref="A1:M1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E7F7-2B8D-42C0-B1FD-5B3A4E936689}">
  <sheetPr>
    <tabColor theme="1" tint="0.34998626667073579"/>
  </sheetPr>
  <dimension ref="A1:J353"/>
  <sheetViews>
    <sheetView topLeftCell="A10" workbookViewId="0">
      <selection activeCell="G11" sqref="G11"/>
    </sheetView>
  </sheetViews>
  <sheetFormatPr defaultColWidth="8.59765625" defaultRowHeight="18.75"/>
  <cols>
    <col min="1" max="1" width="12.3984375" bestFit="1" customWidth="1"/>
    <col min="2" max="2" width="14.296875" customWidth="1"/>
    <col min="3" max="3" width="14.59765625" customWidth="1"/>
    <col min="4" max="4" width="12.3984375" bestFit="1" customWidth="1"/>
    <col min="5" max="5" width="13.09765625" customWidth="1"/>
    <col min="6" max="6" width="12.3984375" bestFit="1" customWidth="1"/>
    <col min="7" max="10" width="13.3984375" bestFit="1" customWidth="1"/>
  </cols>
  <sheetData>
    <row r="1" spans="1:10">
      <c r="A1" s="12" t="s">
        <v>16</v>
      </c>
      <c r="B1" s="12"/>
      <c r="C1" s="12"/>
      <c r="D1" s="12"/>
      <c r="E1" s="3"/>
      <c r="F1" s="3"/>
      <c r="G1" s="3"/>
      <c r="H1" s="3"/>
      <c r="I1" s="3"/>
      <c r="J1" s="3"/>
    </row>
    <row r="3" spans="1:10">
      <c r="A3" s="9" t="s">
        <v>12</v>
      </c>
      <c r="B3" s="9" t="s">
        <v>13</v>
      </c>
      <c r="C3" s="9" t="s">
        <v>28</v>
      </c>
      <c r="D3" s="9" t="s">
        <v>29</v>
      </c>
    </row>
    <row r="4" spans="1:10">
      <c r="A4">
        <v>2021</v>
      </c>
      <c r="B4" t="s">
        <v>17</v>
      </c>
      <c r="C4" s="2" t="s">
        <v>1</v>
      </c>
      <c r="D4" s="2">
        <v>124866</v>
      </c>
    </row>
    <row r="5" spans="1:10">
      <c r="A5">
        <v>2021</v>
      </c>
      <c r="B5" t="s">
        <v>17</v>
      </c>
      <c r="C5" s="2" t="s">
        <v>3</v>
      </c>
      <c r="D5" s="2">
        <v>214673</v>
      </c>
    </row>
    <row r="6" spans="1:10">
      <c r="A6">
        <v>2021</v>
      </c>
      <c r="B6" t="s">
        <v>17</v>
      </c>
      <c r="C6" s="2" t="s">
        <v>10</v>
      </c>
      <c r="D6" s="2">
        <v>386127</v>
      </c>
    </row>
    <row r="7" spans="1:10">
      <c r="A7">
        <v>2021</v>
      </c>
      <c r="B7" t="s">
        <v>17</v>
      </c>
      <c r="C7" s="2" t="s">
        <v>5</v>
      </c>
      <c r="D7" s="2">
        <v>461093</v>
      </c>
    </row>
    <row r="8" spans="1:10">
      <c r="A8">
        <v>2021</v>
      </c>
      <c r="B8" t="s">
        <v>17</v>
      </c>
      <c r="C8" s="2" t="s">
        <v>6</v>
      </c>
      <c r="D8" s="2">
        <v>588713</v>
      </c>
    </row>
    <row r="9" spans="1:10">
      <c r="A9">
        <v>2021</v>
      </c>
      <c r="B9" t="s">
        <v>17</v>
      </c>
      <c r="C9" s="2" t="s">
        <v>11</v>
      </c>
      <c r="D9" s="2">
        <v>711137</v>
      </c>
    </row>
    <row r="10" spans="1:10">
      <c r="A10">
        <v>2021</v>
      </c>
      <c r="B10" t="s">
        <v>17</v>
      </c>
      <c r="C10" s="2" t="s">
        <v>8</v>
      </c>
      <c r="D10" s="2">
        <v>730877</v>
      </c>
    </row>
    <row r="11" spans="1:10">
      <c r="A11">
        <v>2021</v>
      </c>
      <c r="B11" t="s">
        <v>17</v>
      </c>
      <c r="C11" s="2" t="s">
        <v>9</v>
      </c>
      <c r="D11" s="2">
        <v>801673</v>
      </c>
    </row>
    <row r="12" spans="1:10">
      <c r="A12">
        <v>2021</v>
      </c>
      <c r="B12" t="s">
        <v>17</v>
      </c>
      <c r="C12" s="2" t="s">
        <v>2</v>
      </c>
      <c r="D12" s="2">
        <v>882301</v>
      </c>
    </row>
    <row r="13" spans="1:10">
      <c r="A13">
        <v>2021</v>
      </c>
      <c r="B13" t="s">
        <v>17</v>
      </c>
      <c r="C13" s="2" t="s">
        <v>7</v>
      </c>
      <c r="D13" s="2">
        <v>982009</v>
      </c>
    </row>
    <row r="14" spans="1:10">
      <c r="A14">
        <v>2021</v>
      </c>
      <c r="B14" t="s">
        <v>18</v>
      </c>
      <c r="C14" s="2" t="s">
        <v>1</v>
      </c>
      <c r="D14" s="2">
        <v>258837</v>
      </c>
    </row>
    <row r="15" spans="1:10">
      <c r="A15">
        <v>2021</v>
      </c>
      <c r="B15" t="s">
        <v>18</v>
      </c>
      <c r="C15" s="2" t="s">
        <v>3</v>
      </c>
      <c r="D15" s="2">
        <v>400822</v>
      </c>
    </row>
    <row r="16" spans="1:10">
      <c r="A16">
        <v>2021</v>
      </c>
      <c r="B16" t="s">
        <v>18</v>
      </c>
      <c r="C16" s="2" t="s">
        <v>10</v>
      </c>
      <c r="D16" s="2">
        <v>743096</v>
      </c>
    </row>
    <row r="17" spans="1:4">
      <c r="A17">
        <v>2021</v>
      </c>
      <c r="B17" t="s">
        <v>18</v>
      </c>
      <c r="C17" s="2" t="s">
        <v>5</v>
      </c>
      <c r="D17" s="2">
        <v>906764</v>
      </c>
    </row>
    <row r="18" spans="1:4">
      <c r="A18">
        <v>2021</v>
      </c>
      <c r="B18" t="s">
        <v>18</v>
      </c>
      <c r="C18" s="2" t="s">
        <v>6</v>
      </c>
      <c r="D18" s="2">
        <v>1139545</v>
      </c>
    </row>
    <row r="19" spans="1:4">
      <c r="A19">
        <v>2021</v>
      </c>
      <c r="B19" t="s">
        <v>18</v>
      </c>
      <c r="C19" s="2" t="s">
        <v>11</v>
      </c>
      <c r="D19" s="2">
        <v>1320166</v>
      </c>
    </row>
    <row r="20" spans="1:4">
      <c r="A20">
        <v>2021</v>
      </c>
      <c r="B20" t="s">
        <v>18</v>
      </c>
      <c r="C20" s="2" t="s">
        <v>8</v>
      </c>
      <c r="D20" s="2">
        <v>1415409</v>
      </c>
    </row>
    <row r="21" spans="1:4">
      <c r="A21">
        <v>2021</v>
      </c>
      <c r="B21" t="s">
        <v>18</v>
      </c>
      <c r="C21" s="2" t="s">
        <v>9</v>
      </c>
      <c r="D21" s="2">
        <v>1534950</v>
      </c>
    </row>
    <row r="22" spans="1:4">
      <c r="A22">
        <v>2021</v>
      </c>
      <c r="B22" t="s">
        <v>18</v>
      </c>
      <c r="C22" s="2" t="s">
        <v>2</v>
      </c>
      <c r="D22" s="2">
        <v>1720855</v>
      </c>
    </row>
    <row r="23" spans="1:4">
      <c r="A23">
        <v>2021</v>
      </c>
      <c r="B23" t="s">
        <v>18</v>
      </c>
      <c r="C23" s="2" t="s">
        <v>7</v>
      </c>
      <c r="D23" s="2">
        <v>1927590</v>
      </c>
    </row>
    <row r="24" spans="1:4">
      <c r="A24">
        <v>2021</v>
      </c>
      <c r="B24" t="s">
        <v>19</v>
      </c>
      <c r="C24" s="2" t="s">
        <v>1</v>
      </c>
      <c r="D24" s="2">
        <v>343113</v>
      </c>
    </row>
    <row r="25" spans="1:4">
      <c r="A25">
        <v>2021</v>
      </c>
      <c r="B25" t="s">
        <v>19</v>
      </c>
      <c r="C25" s="2" t="s">
        <v>3</v>
      </c>
      <c r="D25" s="2">
        <v>540754</v>
      </c>
    </row>
    <row r="26" spans="1:4">
      <c r="A26">
        <v>2021</v>
      </c>
      <c r="B26" t="s">
        <v>19</v>
      </c>
      <c r="C26" s="2" t="s">
        <v>10</v>
      </c>
      <c r="D26" s="2">
        <v>1071411</v>
      </c>
    </row>
    <row r="27" spans="1:4">
      <c r="A27">
        <v>2021</v>
      </c>
      <c r="B27" t="s">
        <v>19</v>
      </c>
      <c r="C27" s="2" t="s">
        <v>5</v>
      </c>
      <c r="D27" s="2">
        <v>1348587</v>
      </c>
    </row>
    <row r="28" spans="1:4">
      <c r="A28">
        <v>2021</v>
      </c>
      <c r="B28" t="s">
        <v>19</v>
      </c>
      <c r="C28" s="2" t="s">
        <v>6</v>
      </c>
      <c r="D28" s="2">
        <v>1703104</v>
      </c>
    </row>
    <row r="29" spans="1:4">
      <c r="A29">
        <v>2021</v>
      </c>
      <c r="B29" t="s">
        <v>19</v>
      </c>
      <c r="C29" s="2" t="s">
        <v>11</v>
      </c>
      <c r="D29" s="2">
        <v>1989255</v>
      </c>
    </row>
    <row r="30" spans="1:4">
      <c r="A30">
        <v>2021</v>
      </c>
      <c r="B30" t="s">
        <v>19</v>
      </c>
      <c r="C30" s="2" t="s">
        <v>8</v>
      </c>
      <c r="D30" s="2">
        <v>2117982</v>
      </c>
    </row>
    <row r="31" spans="1:4">
      <c r="A31">
        <v>2021</v>
      </c>
      <c r="B31" t="s">
        <v>19</v>
      </c>
      <c r="C31" s="2" t="s">
        <v>9</v>
      </c>
      <c r="D31" s="2">
        <v>2289046</v>
      </c>
    </row>
    <row r="32" spans="1:4">
      <c r="A32">
        <v>2021</v>
      </c>
      <c r="B32" t="s">
        <v>19</v>
      </c>
      <c r="C32" s="2" t="s">
        <v>2</v>
      </c>
      <c r="D32" s="2">
        <v>2569116</v>
      </c>
    </row>
    <row r="33" spans="1:4">
      <c r="A33">
        <v>2021</v>
      </c>
      <c r="B33" t="s">
        <v>19</v>
      </c>
      <c r="C33" s="2" t="s">
        <v>7</v>
      </c>
      <c r="D33" s="2">
        <v>2901636</v>
      </c>
    </row>
    <row r="34" spans="1:4">
      <c r="A34">
        <v>2021</v>
      </c>
      <c r="B34" t="s">
        <v>20</v>
      </c>
      <c r="C34" s="2" t="s">
        <v>1</v>
      </c>
      <c r="D34" s="2">
        <v>462030</v>
      </c>
    </row>
    <row r="35" spans="1:4">
      <c r="A35">
        <v>2021</v>
      </c>
      <c r="B35" t="s">
        <v>20</v>
      </c>
      <c r="C35" s="2" t="s">
        <v>3</v>
      </c>
      <c r="D35" s="2">
        <v>749350</v>
      </c>
    </row>
    <row r="36" spans="1:4">
      <c r="A36">
        <v>2021</v>
      </c>
      <c r="B36" t="s">
        <v>20</v>
      </c>
      <c r="C36" s="2" t="s">
        <v>10</v>
      </c>
      <c r="D36" s="2">
        <v>1479758</v>
      </c>
    </row>
    <row r="37" spans="1:4">
      <c r="A37">
        <v>2021</v>
      </c>
      <c r="B37" t="s">
        <v>20</v>
      </c>
      <c r="C37" s="2" t="s">
        <v>5</v>
      </c>
      <c r="D37" s="2">
        <v>1875059</v>
      </c>
    </row>
    <row r="38" spans="1:4">
      <c r="A38">
        <v>2021</v>
      </c>
      <c r="B38" t="s">
        <v>20</v>
      </c>
      <c r="C38" s="2" t="s">
        <v>6</v>
      </c>
      <c r="D38" s="2">
        <v>2325765</v>
      </c>
    </row>
    <row r="39" spans="1:4">
      <c r="A39">
        <v>2021</v>
      </c>
      <c r="B39" t="s">
        <v>20</v>
      </c>
      <c r="C39" s="2" t="s">
        <v>11</v>
      </c>
      <c r="D39" s="2">
        <v>2721250</v>
      </c>
    </row>
    <row r="40" spans="1:4">
      <c r="A40">
        <v>2021</v>
      </c>
      <c r="B40" t="s">
        <v>20</v>
      </c>
      <c r="C40" s="2" t="s">
        <v>8</v>
      </c>
      <c r="D40" s="2">
        <v>2940197</v>
      </c>
    </row>
    <row r="41" spans="1:4">
      <c r="A41">
        <v>2021</v>
      </c>
      <c r="B41" t="s">
        <v>20</v>
      </c>
      <c r="C41" s="2" t="s">
        <v>9</v>
      </c>
      <c r="D41" s="2">
        <v>3165012</v>
      </c>
    </row>
    <row r="42" spans="1:4">
      <c r="A42">
        <v>2021</v>
      </c>
      <c r="B42" t="s">
        <v>20</v>
      </c>
      <c r="C42" s="2" t="s">
        <v>2</v>
      </c>
      <c r="D42" s="2">
        <v>3557888</v>
      </c>
    </row>
    <row r="43" spans="1:4">
      <c r="A43">
        <v>2021</v>
      </c>
      <c r="B43" t="s">
        <v>20</v>
      </c>
      <c r="C43" s="2" t="s">
        <v>7</v>
      </c>
      <c r="D43" s="2">
        <v>3959440</v>
      </c>
    </row>
    <row r="44" spans="1:4">
      <c r="A44">
        <v>2021</v>
      </c>
      <c r="B44" t="s">
        <v>21</v>
      </c>
      <c r="C44" s="2" t="s">
        <v>1</v>
      </c>
      <c r="D44" s="2">
        <v>655377</v>
      </c>
    </row>
    <row r="45" spans="1:4">
      <c r="A45">
        <v>2021</v>
      </c>
      <c r="B45" t="s">
        <v>21</v>
      </c>
      <c r="C45" s="2" t="s">
        <v>3</v>
      </c>
      <c r="D45" s="2">
        <v>1051210</v>
      </c>
    </row>
    <row r="46" spans="1:4">
      <c r="A46">
        <v>2021</v>
      </c>
      <c r="B46" t="s">
        <v>21</v>
      </c>
      <c r="C46" s="2" t="s">
        <v>10</v>
      </c>
      <c r="D46" s="2">
        <v>1957897</v>
      </c>
    </row>
    <row r="47" spans="1:4">
      <c r="A47">
        <v>2021</v>
      </c>
      <c r="B47" t="s">
        <v>21</v>
      </c>
      <c r="C47" s="2" t="s">
        <v>5</v>
      </c>
      <c r="D47" s="2">
        <v>2476220</v>
      </c>
    </row>
    <row r="48" spans="1:4">
      <c r="A48">
        <v>2021</v>
      </c>
      <c r="B48" t="s">
        <v>21</v>
      </c>
      <c r="C48" s="2" t="s">
        <v>6</v>
      </c>
      <c r="D48" s="2">
        <v>3043294</v>
      </c>
    </row>
    <row r="49" spans="1:4">
      <c r="A49">
        <v>2021</v>
      </c>
      <c r="B49" t="s">
        <v>21</v>
      </c>
      <c r="C49" s="2" t="s">
        <v>11</v>
      </c>
      <c r="D49" s="2">
        <v>3511046</v>
      </c>
    </row>
    <row r="50" spans="1:4">
      <c r="A50">
        <v>2021</v>
      </c>
      <c r="B50" t="s">
        <v>21</v>
      </c>
      <c r="C50" s="2" t="s">
        <v>8</v>
      </c>
      <c r="D50" s="2">
        <v>3782177</v>
      </c>
    </row>
    <row r="51" spans="1:4">
      <c r="A51">
        <v>2021</v>
      </c>
      <c r="B51" t="s">
        <v>21</v>
      </c>
      <c r="C51" s="2" t="s">
        <v>9</v>
      </c>
      <c r="D51" s="2">
        <v>4083895</v>
      </c>
    </row>
    <row r="52" spans="1:4">
      <c r="A52">
        <v>2021</v>
      </c>
      <c r="B52" t="s">
        <v>21</v>
      </c>
      <c r="C52" s="2" t="s">
        <v>2</v>
      </c>
      <c r="D52" s="2">
        <v>4587946</v>
      </c>
    </row>
    <row r="53" spans="1:4">
      <c r="A53">
        <v>2021</v>
      </c>
      <c r="B53" t="s">
        <v>21</v>
      </c>
      <c r="C53" s="2" t="s">
        <v>7</v>
      </c>
      <c r="D53" s="2">
        <v>5109620</v>
      </c>
    </row>
    <row r="54" spans="1:4">
      <c r="A54">
        <v>2021</v>
      </c>
      <c r="B54" t="s">
        <v>22</v>
      </c>
      <c r="C54" s="2" t="s">
        <v>1</v>
      </c>
      <c r="D54" s="2">
        <v>766708</v>
      </c>
    </row>
    <row r="55" spans="1:4">
      <c r="A55">
        <v>2021</v>
      </c>
      <c r="B55" t="s">
        <v>22</v>
      </c>
      <c r="C55" s="2" t="s">
        <v>3</v>
      </c>
      <c r="D55" s="2">
        <v>1251456</v>
      </c>
    </row>
    <row r="56" spans="1:4">
      <c r="A56">
        <v>2021</v>
      </c>
      <c r="B56" t="s">
        <v>22</v>
      </c>
      <c r="C56" s="2" t="s">
        <v>10</v>
      </c>
      <c r="D56" s="2">
        <v>2344907</v>
      </c>
    </row>
    <row r="57" spans="1:4">
      <c r="A57">
        <v>2021</v>
      </c>
      <c r="B57" t="s">
        <v>22</v>
      </c>
      <c r="C57" s="2" t="s">
        <v>5</v>
      </c>
      <c r="D57" s="2">
        <v>2945090</v>
      </c>
    </row>
    <row r="58" spans="1:4">
      <c r="A58">
        <v>2021</v>
      </c>
      <c r="B58" t="s">
        <v>22</v>
      </c>
      <c r="C58" s="2" t="s">
        <v>6</v>
      </c>
      <c r="D58" s="2">
        <v>3580931</v>
      </c>
    </row>
    <row r="59" spans="1:4">
      <c r="A59">
        <v>2021</v>
      </c>
      <c r="B59" t="s">
        <v>22</v>
      </c>
      <c r="C59" s="2" t="s">
        <v>11</v>
      </c>
      <c r="D59" s="2">
        <v>4203913</v>
      </c>
    </row>
    <row r="60" spans="1:4">
      <c r="A60">
        <v>2021</v>
      </c>
      <c r="B60" t="s">
        <v>22</v>
      </c>
      <c r="C60" s="2" t="s">
        <v>8</v>
      </c>
      <c r="D60" s="2">
        <v>4510515</v>
      </c>
    </row>
    <row r="61" spans="1:4">
      <c r="A61">
        <v>2021</v>
      </c>
      <c r="B61" t="s">
        <v>22</v>
      </c>
      <c r="C61" s="2" t="s">
        <v>9</v>
      </c>
      <c r="D61" s="2">
        <v>4835856</v>
      </c>
    </row>
    <row r="62" spans="1:4">
      <c r="A62">
        <v>2021</v>
      </c>
      <c r="B62" t="s">
        <v>22</v>
      </c>
      <c r="C62" s="2" t="s">
        <v>2</v>
      </c>
      <c r="D62" s="2">
        <v>5433991</v>
      </c>
    </row>
    <row r="63" spans="1:4">
      <c r="A63">
        <v>2021</v>
      </c>
      <c r="B63" t="s">
        <v>22</v>
      </c>
      <c r="C63" s="2" t="s">
        <v>7</v>
      </c>
      <c r="D63" s="2">
        <v>6021055</v>
      </c>
    </row>
    <row r="64" spans="1:4">
      <c r="A64">
        <v>2021</v>
      </c>
      <c r="B64" t="s">
        <v>23</v>
      </c>
      <c r="C64" s="2" t="s">
        <v>1</v>
      </c>
      <c r="D64" s="2">
        <v>923187</v>
      </c>
    </row>
    <row r="65" spans="1:4">
      <c r="A65">
        <v>2021</v>
      </c>
      <c r="B65" t="s">
        <v>23</v>
      </c>
      <c r="C65" s="2" t="s">
        <v>3</v>
      </c>
      <c r="D65" s="2">
        <v>1502757</v>
      </c>
    </row>
    <row r="66" spans="1:4">
      <c r="A66">
        <v>2021</v>
      </c>
      <c r="B66" t="s">
        <v>23</v>
      </c>
      <c r="C66" s="2" t="s">
        <v>10</v>
      </c>
      <c r="D66" s="2">
        <v>2770890</v>
      </c>
    </row>
    <row r="67" spans="1:4">
      <c r="A67">
        <v>2021</v>
      </c>
      <c r="B67" t="s">
        <v>23</v>
      </c>
      <c r="C67" s="2" t="s">
        <v>5</v>
      </c>
      <c r="D67" s="2">
        <v>3446059</v>
      </c>
    </row>
    <row r="68" spans="1:4">
      <c r="A68">
        <v>2021</v>
      </c>
      <c r="B68" t="s">
        <v>23</v>
      </c>
      <c r="C68" s="2" t="s">
        <v>6</v>
      </c>
      <c r="D68" s="2">
        <v>4163010</v>
      </c>
    </row>
    <row r="69" spans="1:4">
      <c r="A69">
        <v>2021</v>
      </c>
      <c r="B69" t="s">
        <v>23</v>
      </c>
      <c r="C69" s="2" t="s">
        <v>11</v>
      </c>
      <c r="D69" s="2">
        <v>4828027</v>
      </c>
    </row>
    <row r="70" spans="1:4">
      <c r="A70">
        <v>2021</v>
      </c>
      <c r="B70" t="s">
        <v>23</v>
      </c>
      <c r="C70" s="2" t="s">
        <v>8</v>
      </c>
      <c r="D70" s="2">
        <v>5177975</v>
      </c>
    </row>
    <row r="71" spans="1:4">
      <c r="A71">
        <v>2021</v>
      </c>
      <c r="B71" t="s">
        <v>23</v>
      </c>
      <c r="C71" s="2" t="s">
        <v>9</v>
      </c>
      <c r="D71" s="2">
        <v>5524262</v>
      </c>
    </row>
    <row r="72" spans="1:4">
      <c r="A72">
        <v>2021</v>
      </c>
      <c r="B72" t="s">
        <v>23</v>
      </c>
      <c r="C72" s="2" t="s">
        <v>2</v>
      </c>
      <c r="D72" s="2">
        <v>6215010</v>
      </c>
    </row>
    <row r="73" spans="1:4">
      <c r="A73">
        <v>2021</v>
      </c>
      <c r="B73" t="s">
        <v>23</v>
      </c>
      <c r="C73" s="2" t="s">
        <v>7</v>
      </c>
      <c r="D73" s="2">
        <v>6916275</v>
      </c>
    </row>
    <row r="74" spans="1:4">
      <c r="A74">
        <v>2021</v>
      </c>
      <c r="B74" t="s">
        <v>24</v>
      </c>
      <c r="C74" s="2" t="s">
        <v>1</v>
      </c>
      <c r="D74" s="2">
        <v>1116987</v>
      </c>
    </row>
    <row r="75" spans="1:4">
      <c r="A75">
        <v>2021</v>
      </c>
      <c r="B75" t="s">
        <v>24</v>
      </c>
      <c r="C75" s="2" t="s">
        <v>3</v>
      </c>
      <c r="D75" s="2">
        <v>1773793</v>
      </c>
    </row>
    <row r="76" spans="1:4">
      <c r="A76">
        <v>2021</v>
      </c>
      <c r="B76" t="s">
        <v>24</v>
      </c>
      <c r="C76" s="2" t="s">
        <v>10</v>
      </c>
      <c r="D76" s="2">
        <v>3232028</v>
      </c>
    </row>
    <row r="77" spans="1:4">
      <c r="A77">
        <v>2021</v>
      </c>
      <c r="B77" t="s">
        <v>24</v>
      </c>
      <c r="C77" s="2" t="s">
        <v>5</v>
      </c>
      <c r="D77" s="2">
        <v>3965098</v>
      </c>
    </row>
    <row r="78" spans="1:4">
      <c r="A78">
        <v>2021</v>
      </c>
      <c r="B78" t="s">
        <v>24</v>
      </c>
      <c r="C78" s="2" t="s">
        <v>6</v>
      </c>
      <c r="D78" s="2">
        <v>4793772</v>
      </c>
    </row>
    <row r="79" spans="1:4">
      <c r="A79">
        <v>2021</v>
      </c>
      <c r="B79" t="s">
        <v>24</v>
      </c>
      <c r="C79" s="2" t="s">
        <v>11</v>
      </c>
      <c r="D79" s="2">
        <v>5566433</v>
      </c>
    </row>
    <row r="80" spans="1:4">
      <c r="A80">
        <v>2021</v>
      </c>
      <c r="B80" t="s">
        <v>24</v>
      </c>
      <c r="C80" s="2" t="s">
        <v>8</v>
      </c>
      <c r="D80" s="2">
        <v>5954312</v>
      </c>
    </row>
    <row r="81" spans="1:4">
      <c r="A81">
        <v>2021</v>
      </c>
      <c r="B81" t="s">
        <v>24</v>
      </c>
      <c r="C81" s="2" t="s">
        <v>9</v>
      </c>
      <c r="D81" s="2">
        <v>6324788</v>
      </c>
    </row>
    <row r="82" spans="1:4">
      <c r="A82">
        <v>2021</v>
      </c>
      <c r="B82" t="s">
        <v>24</v>
      </c>
      <c r="C82" s="2" t="s">
        <v>2</v>
      </c>
      <c r="D82" s="2">
        <v>7089500</v>
      </c>
    </row>
    <row r="83" spans="1:4">
      <c r="A83">
        <v>2021</v>
      </c>
      <c r="B83" t="s">
        <v>24</v>
      </c>
      <c r="C83" s="2" t="s">
        <v>7</v>
      </c>
      <c r="D83" s="2">
        <v>7876088</v>
      </c>
    </row>
    <row r="84" spans="1:4">
      <c r="A84">
        <v>2021</v>
      </c>
      <c r="B84" t="s">
        <v>25</v>
      </c>
      <c r="C84" s="2" t="s">
        <v>1</v>
      </c>
      <c r="D84" s="2">
        <v>1317623</v>
      </c>
    </row>
    <row r="85" spans="1:4">
      <c r="A85">
        <v>2021</v>
      </c>
      <c r="B85" t="s">
        <v>25</v>
      </c>
      <c r="C85" s="2" t="s">
        <v>3</v>
      </c>
      <c r="D85" s="2">
        <v>2129838</v>
      </c>
    </row>
    <row r="86" spans="1:4">
      <c r="A86">
        <v>2021</v>
      </c>
      <c r="B86" t="s">
        <v>25</v>
      </c>
      <c r="C86" s="2" t="s">
        <v>10</v>
      </c>
      <c r="D86" s="2">
        <v>3796799</v>
      </c>
    </row>
    <row r="87" spans="1:4">
      <c r="A87">
        <v>2021</v>
      </c>
      <c r="B87" t="s">
        <v>25</v>
      </c>
      <c r="C87" s="2" t="s">
        <v>5</v>
      </c>
      <c r="D87" s="2">
        <v>4619995</v>
      </c>
    </row>
    <row r="88" spans="1:4">
      <c r="A88">
        <v>2021</v>
      </c>
      <c r="B88" t="s">
        <v>25</v>
      </c>
      <c r="C88" s="2" t="s">
        <v>6</v>
      </c>
      <c r="D88" s="2">
        <v>5575992</v>
      </c>
    </row>
    <row r="89" spans="1:4">
      <c r="A89">
        <v>2021</v>
      </c>
      <c r="B89" t="s">
        <v>25</v>
      </c>
      <c r="C89" s="2" t="s">
        <v>11</v>
      </c>
      <c r="D89" s="2">
        <v>6456596</v>
      </c>
    </row>
    <row r="90" spans="1:4">
      <c r="A90">
        <v>2021</v>
      </c>
      <c r="B90" t="s">
        <v>25</v>
      </c>
      <c r="C90" s="2" t="s">
        <v>8</v>
      </c>
      <c r="D90" s="2">
        <v>6882184</v>
      </c>
    </row>
    <row r="91" spans="1:4">
      <c r="A91">
        <v>2021</v>
      </c>
      <c r="B91" t="s">
        <v>25</v>
      </c>
      <c r="C91" s="2" t="s">
        <v>9</v>
      </c>
      <c r="D91" s="2">
        <v>7294392</v>
      </c>
    </row>
    <row r="92" spans="1:4">
      <c r="A92">
        <v>2021</v>
      </c>
      <c r="B92" t="s">
        <v>25</v>
      </c>
      <c r="C92" s="2" t="s">
        <v>2</v>
      </c>
      <c r="D92" s="2">
        <v>8161059</v>
      </c>
    </row>
    <row r="93" spans="1:4">
      <c r="A93">
        <v>2021</v>
      </c>
      <c r="B93" t="s">
        <v>25</v>
      </c>
      <c r="C93" s="2" t="s">
        <v>7</v>
      </c>
      <c r="D93" s="2">
        <v>9074797</v>
      </c>
    </row>
    <row r="94" spans="1:4">
      <c r="A94">
        <v>2021</v>
      </c>
      <c r="B94" t="s">
        <v>26</v>
      </c>
      <c r="C94" s="2" t="s">
        <v>1</v>
      </c>
      <c r="D94" s="2">
        <v>1474349</v>
      </c>
    </row>
    <row r="95" spans="1:4">
      <c r="A95">
        <v>2021</v>
      </c>
      <c r="B95" t="s">
        <v>26</v>
      </c>
      <c r="C95" s="2" t="s">
        <v>3</v>
      </c>
      <c r="D95" s="2">
        <v>2430471</v>
      </c>
    </row>
    <row r="96" spans="1:4">
      <c r="A96">
        <v>2021</v>
      </c>
      <c r="B96" t="s">
        <v>26</v>
      </c>
      <c r="C96" s="2" t="s">
        <v>10</v>
      </c>
      <c r="D96" s="2">
        <v>4322395</v>
      </c>
    </row>
    <row r="97" spans="1:4">
      <c r="A97">
        <v>2021</v>
      </c>
      <c r="B97" t="s">
        <v>26</v>
      </c>
      <c r="C97" s="2" t="s">
        <v>5</v>
      </c>
      <c r="D97" s="2">
        <v>5214279</v>
      </c>
    </row>
    <row r="98" spans="1:4">
      <c r="A98">
        <v>2021</v>
      </c>
      <c r="B98" t="s">
        <v>26</v>
      </c>
      <c r="C98" s="2" t="s">
        <v>6</v>
      </c>
      <c r="D98" s="2">
        <v>6247652</v>
      </c>
    </row>
    <row r="99" spans="1:4">
      <c r="A99">
        <v>2021</v>
      </c>
      <c r="B99" t="s">
        <v>26</v>
      </c>
      <c r="C99" s="2" t="s">
        <v>11</v>
      </c>
      <c r="D99" s="2">
        <v>7233711</v>
      </c>
    </row>
    <row r="100" spans="1:4">
      <c r="A100">
        <v>2021</v>
      </c>
      <c r="B100" t="s">
        <v>26</v>
      </c>
      <c r="C100" s="2" t="s">
        <v>8</v>
      </c>
      <c r="D100" s="2">
        <v>7725912</v>
      </c>
    </row>
    <row r="101" spans="1:4">
      <c r="A101">
        <v>2021</v>
      </c>
      <c r="B101" t="s">
        <v>26</v>
      </c>
      <c r="C101" s="2" t="s">
        <v>9</v>
      </c>
      <c r="D101" s="2">
        <v>8198335</v>
      </c>
    </row>
    <row r="102" spans="1:4">
      <c r="A102">
        <v>2021</v>
      </c>
      <c r="B102" t="s">
        <v>26</v>
      </c>
      <c r="C102" s="2" t="s">
        <v>2</v>
      </c>
      <c r="D102" s="2">
        <v>9169710</v>
      </c>
    </row>
    <row r="103" spans="1:4">
      <c r="A103">
        <v>2021</v>
      </c>
      <c r="B103" t="s">
        <v>26</v>
      </c>
      <c r="C103" s="2" t="s">
        <v>7</v>
      </c>
      <c r="D103" s="2">
        <v>10210196</v>
      </c>
    </row>
    <row r="104" spans="1:4">
      <c r="A104">
        <v>2021</v>
      </c>
      <c r="B104" t="s">
        <v>14</v>
      </c>
      <c r="C104" s="2" t="s">
        <v>1</v>
      </c>
      <c r="D104" s="2">
        <v>1668451</v>
      </c>
    </row>
    <row r="105" spans="1:4">
      <c r="A105">
        <v>2021</v>
      </c>
      <c r="B105" t="s">
        <v>14</v>
      </c>
      <c r="C105" s="2" t="s">
        <v>3</v>
      </c>
      <c r="D105" s="2">
        <v>2743907</v>
      </c>
    </row>
    <row r="106" spans="1:4">
      <c r="A106">
        <v>2021</v>
      </c>
      <c r="B106" t="s">
        <v>14</v>
      </c>
      <c r="C106" s="2" t="s">
        <v>10</v>
      </c>
      <c r="D106" s="2">
        <v>4848646</v>
      </c>
    </row>
    <row r="107" spans="1:4">
      <c r="A107">
        <v>2021</v>
      </c>
      <c r="B107" t="s">
        <v>14</v>
      </c>
      <c r="C107" s="2" t="s">
        <v>5</v>
      </c>
      <c r="D107" s="2">
        <v>5895575</v>
      </c>
    </row>
    <row r="108" spans="1:4">
      <c r="A108">
        <v>2021</v>
      </c>
      <c r="B108" t="s">
        <v>14</v>
      </c>
      <c r="C108" s="2" t="s">
        <v>6</v>
      </c>
      <c r="D108" s="2">
        <v>7044327</v>
      </c>
    </row>
    <row r="109" spans="1:4">
      <c r="A109">
        <v>2021</v>
      </c>
      <c r="B109" t="s">
        <v>14</v>
      </c>
      <c r="C109" s="2" t="s">
        <v>11</v>
      </c>
      <c r="D109" s="2">
        <v>8141409</v>
      </c>
    </row>
    <row r="110" spans="1:4">
      <c r="A110">
        <v>2021</v>
      </c>
      <c r="B110" t="s">
        <v>14</v>
      </c>
      <c r="C110" s="2" t="s">
        <v>8</v>
      </c>
      <c r="D110" s="2">
        <v>8717616</v>
      </c>
    </row>
    <row r="111" spans="1:4">
      <c r="A111">
        <v>2021</v>
      </c>
      <c r="B111" t="s">
        <v>14</v>
      </c>
      <c r="C111" s="2" t="s">
        <v>9</v>
      </c>
      <c r="D111" s="2">
        <v>9241117</v>
      </c>
    </row>
    <row r="112" spans="1:4">
      <c r="A112">
        <v>2021</v>
      </c>
      <c r="B112" t="s">
        <v>14</v>
      </c>
      <c r="C112" s="2" t="s">
        <v>2</v>
      </c>
      <c r="D112" s="2">
        <v>10352497</v>
      </c>
    </row>
    <row r="113" spans="1:4">
      <c r="A113">
        <v>2021</v>
      </c>
      <c r="B113" t="s">
        <v>14</v>
      </c>
      <c r="C113" s="2" t="s">
        <v>7</v>
      </c>
      <c r="D113" s="2">
        <v>11542723</v>
      </c>
    </row>
    <row r="114" spans="1:4">
      <c r="A114">
        <v>2021</v>
      </c>
      <c r="B114" t="s">
        <v>27</v>
      </c>
      <c r="C114" s="2" t="s">
        <v>1</v>
      </c>
      <c r="D114" s="2">
        <v>1792128</v>
      </c>
    </row>
    <row r="115" spans="1:4">
      <c r="A115">
        <v>2021</v>
      </c>
      <c r="B115" t="s">
        <v>27</v>
      </c>
      <c r="C115" s="2" t="s">
        <v>3</v>
      </c>
      <c r="D115" s="2">
        <v>2955790</v>
      </c>
    </row>
    <row r="116" spans="1:4">
      <c r="A116">
        <v>2021</v>
      </c>
      <c r="B116" t="s">
        <v>27</v>
      </c>
      <c r="C116" s="2" t="s">
        <v>10</v>
      </c>
      <c r="D116" s="2">
        <v>5308016</v>
      </c>
    </row>
    <row r="117" spans="1:4">
      <c r="A117">
        <v>2021</v>
      </c>
      <c r="B117" t="s">
        <v>27</v>
      </c>
      <c r="C117" s="2" t="s">
        <v>5</v>
      </c>
      <c r="D117" s="2">
        <v>6508092</v>
      </c>
    </row>
    <row r="118" spans="1:4">
      <c r="A118">
        <v>2021</v>
      </c>
      <c r="B118" t="s">
        <v>27</v>
      </c>
      <c r="C118" s="2" t="s">
        <v>6</v>
      </c>
      <c r="D118" s="2">
        <v>7765627</v>
      </c>
    </row>
    <row r="119" spans="1:4">
      <c r="A119">
        <v>2021</v>
      </c>
      <c r="B119" t="s">
        <v>27</v>
      </c>
      <c r="C119" s="2" t="s">
        <v>11</v>
      </c>
      <c r="D119" s="2">
        <v>8998659</v>
      </c>
    </row>
    <row r="120" spans="1:4">
      <c r="A120">
        <v>2021</v>
      </c>
      <c r="B120" t="s">
        <v>27</v>
      </c>
      <c r="C120" s="2" t="s">
        <v>8</v>
      </c>
      <c r="D120" s="2">
        <v>9612641</v>
      </c>
    </row>
    <row r="121" spans="1:4">
      <c r="A121">
        <v>2021</v>
      </c>
      <c r="B121" t="s">
        <v>27</v>
      </c>
      <c r="C121" s="2" t="s">
        <v>9</v>
      </c>
      <c r="D121" s="2">
        <v>10179821</v>
      </c>
    </row>
    <row r="122" spans="1:4">
      <c r="A122">
        <v>2021</v>
      </c>
      <c r="B122" t="s">
        <v>27</v>
      </c>
      <c r="C122" s="2" t="s">
        <v>2</v>
      </c>
      <c r="D122" s="2">
        <v>11370261</v>
      </c>
    </row>
    <row r="123" spans="1:4">
      <c r="A123">
        <v>2021</v>
      </c>
      <c r="B123" t="s">
        <v>27</v>
      </c>
      <c r="C123" s="2" t="s">
        <v>7</v>
      </c>
      <c r="D123" s="2">
        <v>12711959</v>
      </c>
    </row>
    <row r="124" spans="1:4">
      <c r="A124">
        <v>2022</v>
      </c>
      <c r="B124" t="s">
        <v>17</v>
      </c>
      <c r="C124" s="2" t="s">
        <v>1</v>
      </c>
      <c r="D124" s="2">
        <v>171934</v>
      </c>
    </row>
    <row r="125" spans="1:4">
      <c r="A125">
        <v>2022</v>
      </c>
      <c r="B125" t="s">
        <v>17</v>
      </c>
      <c r="C125" s="2" t="s">
        <v>3</v>
      </c>
      <c r="D125" s="2">
        <v>350139</v>
      </c>
    </row>
    <row r="126" spans="1:4">
      <c r="A126">
        <v>2022</v>
      </c>
      <c r="B126" t="s">
        <v>17</v>
      </c>
      <c r="C126" s="2" t="s">
        <v>10</v>
      </c>
      <c r="D126" s="2">
        <v>503678</v>
      </c>
    </row>
    <row r="127" spans="1:4">
      <c r="A127">
        <v>2022</v>
      </c>
      <c r="B127" t="s">
        <v>17</v>
      </c>
      <c r="C127" s="2" t="s">
        <v>5</v>
      </c>
      <c r="D127" s="2">
        <v>668743</v>
      </c>
    </row>
    <row r="128" spans="1:4">
      <c r="A128">
        <v>2022</v>
      </c>
      <c r="B128" t="s">
        <v>17</v>
      </c>
      <c r="C128" s="2" t="s">
        <v>6</v>
      </c>
      <c r="D128" s="2">
        <v>806648</v>
      </c>
    </row>
    <row r="129" spans="1:4">
      <c r="A129">
        <v>2022</v>
      </c>
      <c r="B129" t="s">
        <v>17</v>
      </c>
      <c r="C129" s="2" t="s">
        <v>11</v>
      </c>
      <c r="D129" s="2">
        <v>974042</v>
      </c>
    </row>
    <row r="130" spans="1:4">
      <c r="A130">
        <v>2022</v>
      </c>
      <c r="B130" t="s">
        <v>17</v>
      </c>
      <c r="C130" s="2" t="s">
        <v>8</v>
      </c>
      <c r="D130" s="2">
        <v>1049122</v>
      </c>
    </row>
    <row r="131" spans="1:4">
      <c r="A131">
        <v>2022</v>
      </c>
      <c r="B131" t="s">
        <v>17</v>
      </c>
      <c r="C131" s="2" t="s">
        <v>9</v>
      </c>
      <c r="D131" s="2">
        <v>1094112</v>
      </c>
    </row>
    <row r="132" spans="1:4">
      <c r="A132">
        <v>2022</v>
      </c>
      <c r="B132" t="s">
        <v>17</v>
      </c>
      <c r="C132" s="2" t="s">
        <v>2</v>
      </c>
      <c r="D132" s="2">
        <v>1202438</v>
      </c>
    </row>
    <row r="133" spans="1:4">
      <c r="A133">
        <v>2022</v>
      </c>
      <c r="B133" t="s">
        <v>17</v>
      </c>
      <c r="C133" s="2" t="s">
        <v>7</v>
      </c>
      <c r="D133" s="2">
        <v>1343910</v>
      </c>
    </row>
    <row r="134" spans="1:4">
      <c r="A134">
        <v>2022</v>
      </c>
      <c r="B134" t="s">
        <v>18</v>
      </c>
      <c r="C134" s="2" t="s">
        <v>1</v>
      </c>
      <c r="D134" s="2">
        <v>322620</v>
      </c>
    </row>
    <row r="135" spans="1:4">
      <c r="A135">
        <v>2022</v>
      </c>
      <c r="B135" t="s">
        <v>18</v>
      </c>
      <c r="C135" s="2" t="s">
        <v>3</v>
      </c>
      <c r="D135" s="2">
        <v>592902</v>
      </c>
    </row>
    <row r="136" spans="1:4">
      <c r="A136">
        <v>2022</v>
      </c>
      <c r="B136" t="s">
        <v>18</v>
      </c>
      <c r="C136" s="2" t="s">
        <v>10</v>
      </c>
      <c r="D136" s="2">
        <v>1014589</v>
      </c>
    </row>
    <row r="137" spans="1:4">
      <c r="A137">
        <v>2022</v>
      </c>
      <c r="B137" t="s">
        <v>18</v>
      </c>
      <c r="C137" s="2" t="s">
        <v>5</v>
      </c>
      <c r="D137" s="2">
        <v>1283669</v>
      </c>
    </row>
    <row r="138" spans="1:4">
      <c r="A138">
        <v>2022</v>
      </c>
      <c r="B138" t="s">
        <v>18</v>
      </c>
      <c r="C138" s="2" t="s">
        <v>6</v>
      </c>
      <c r="D138" s="2">
        <v>1508101</v>
      </c>
    </row>
    <row r="139" spans="1:4">
      <c r="A139">
        <v>2022</v>
      </c>
      <c r="B139" t="s">
        <v>18</v>
      </c>
      <c r="C139" s="2" t="s">
        <v>11</v>
      </c>
      <c r="D139" s="2">
        <v>1852507</v>
      </c>
    </row>
    <row r="140" spans="1:4">
      <c r="A140">
        <v>2022</v>
      </c>
      <c r="B140" t="s">
        <v>18</v>
      </c>
      <c r="C140" s="2" t="s">
        <v>8</v>
      </c>
      <c r="D140" s="2">
        <v>1948666</v>
      </c>
    </row>
    <row r="141" spans="1:4">
      <c r="A141">
        <v>2022</v>
      </c>
      <c r="B141" t="s">
        <v>18</v>
      </c>
      <c r="C141" s="2" t="s">
        <v>9</v>
      </c>
      <c r="D141" s="2">
        <v>2044354</v>
      </c>
    </row>
    <row r="142" spans="1:4">
      <c r="A142">
        <v>2022</v>
      </c>
      <c r="B142" t="s">
        <v>18</v>
      </c>
      <c r="C142" s="2" t="s">
        <v>2</v>
      </c>
      <c r="D142" s="2">
        <v>2239517</v>
      </c>
    </row>
    <row r="143" spans="1:4">
      <c r="A143">
        <v>2022</v>
      </c>
      <c r="B143" t="s">
        <v>18</v>
      </c>
      <c r="C143" s="2" t="s">
        <v>7</v>
      </c>
      <c r="D143" s="2">
        <v>2510016</v>
      </c>
    </row>
    <row r="144" spans="1:4">
      <c r="A144">
        <v>2022</v>
      </c>
      <c r="B144" t="s">
        <v>19</v>
      </c>
      <c r="C144" s="2" t="s">
        <v>1</v>
      </c>
      <c r="D144" s="2">
        <v>470320</v>
      </c>
    </row>
    <row r="145" spans="1:4">
      <c r="A145">
        <v>2022</v>
      </c>
      <c r="B145" t="s">
        <v>19</v>
      </c>
      <c r="C145" s="2" t="s">
        <v>3</v>
      </c>
      <c r="D145" s="2">
        <v>861889</v>
      </c>
    </row>
    <row r="146" spans="1:4">
      <c r="A146">
        <v>2022</v>
      </c>
      <c r="B146" t="s">
        <v>19</v>
      </c>
      <c r="C146" s="2" t="s">
        <v>10</v>
      </c>
      <c r="D146" s="2">
        <v>1513912</v>
      </c>
    </row>
    <row r="147" spans="1:4">
      <c r="A147">
        <v>2022</v>
      </c>
      <c r="B147" t="s">
        <v>19</v>
      </c>
      <c r="C147" s="2" t="s">
        <v>5</v>
      </c>
      <c r="D147" s="2">
        <v>1946313</v>
      </c>
    </row>
    <row r="148" spans="1:4">
      <c r="A148">
        <v>2022</v>
      </c>
      <c r="B148" t="s">
        <v>19</v>
      </c>
      <c r="C148" s="2" t="s">
        <v>6</v>
      </c>
      <c r="D148" s="2">
        <v>2279264</v>
      </c>
    </row>
    <row r="149" spans="1:4">
      <c r="A149">
        <v>2022</v>
      </c>
      <c r="B149" t="s">
        <v>19</v>
      </c>
      <c r="C149" s="2" t="s">
        <v>11</v>
      </c>
      <c r="D149" s="2">
        <v>2759937</v>
      </c>
    </row>
    <row r="150" spans="1:4">
      <c r="A150">
        <v>2022</v>
      </c>
      <c r="B150" t="s">
        <v>19</v>
      </c>
      <c r="C150" s="2" t="s">
        <v>8</v>
      </c>
      <c r="D150" s="2">
        <v>2919585</v>
      </c>
    </row>
    <row r="151" spans="1:4">
      <c r="A151">
        <v>2022</v>
      </c>
      <c r="B151" t="s">
        <v>19</v>
      </c>
      <c r="C151" s="2" t="s">
        <v>9</v>
      </c>
      <c r="D151" s="2">
        <v>3091650</v>
      </c>
    </row>
    <row r="152" spans="1:4">
      <c r="A152">
        <v>2022</v>
      </c>
      <c r="B152" t="s">
        <v>19</v>
      </c>
      <c r="C152" s="2" t="s">
        <v>2</v>
      </c>
      <c r="D152" s="2">
        <v>3341465</v>
      </c>
    </row>
    <row r="153" spans="1:4">
      <c r="A153">
        <v>2022</v>
      </c>
      <c r="B153" t="s">
        <v>19</v>
      </c>
      <c r="C153" s="2" t="s">
        <v>7</v>
      </c>
      <c r="D153" s="2">
        <v>3714416</v>
      </c>
    </row>
    <row r="154" spans="1:4">
      <c r="A154">
        <v>2022</v>
      </c>
      <c r="B154" t="s">
        <v>20</v>
      </c>
      <c r="C154" s="2" t="s">
        <v>1</v>
      </c>
      <c r="D154" s="2">
        <v>684895</v>
      </c>
    </row>
    <row r="155" spans="1:4">
      <c r="A155">
        <v>2022</v>
      </c>
      <c r="B155" t="s">
        <v>20</v>
      </c>
      <c r="C155" s="2" t="s">
        <v>3</v>
      </c>
      <c r="D155" s="2">
        <v>1189284</v>
      </c>
    </row>
    <row r="156" spans="1:4">
      <c r="A156">
        <v>2022</v>
      </c>
      <c r="B156" t="s">
        <v>20</v>
      </c>
      <c r="C156" s="2" t="s">
        <v>10</v>
      </c>
      <c r="D156" s="2">
        <v>2058730</v>
      </c>
    </row>
    <row r="157" spans="1:4">
      <c r="A157">
        <v>2022</v>
      </c>
      <c r="B157" t="s">
        <v>20</v>
      </c>
      <c r="C157" s="2" t="s">
        <v>5</v>
      </c>
      <c r="D157" s="2">
        <v>2654538</v>
      </c>
    </row>
    <row r="158" spans="1:4">
      <c r="A158">
        <v>2022</v>
      </c>
      <c r="B158" t="s">
        <v>20</v>
      </c>
      <c r="C158" s="2" t="s">
        <v>6</v>
      </c>
      <c r="D158" s="2">
        <v>3112561</v>
      </c>
    </row>
    <row r="159" spans="1:4">
      <c r="A159">
        <v>2022</v>
      </c>
      <c r="B159" t="s">
        <v>20</v>
      </c>
      <c r="C159" s="2" t="s">
        <v>11</v>
      </c>
      <c r="D159" s="2">
        <v>3757748</v>
      </c>
    </row>
    <row r="160" spans="1:4">
      <c r="A160">
        <v>2022</v>
      </c>
      <c r="B160" t="s">
        <v>20</v>
      </c>
      <c r="C160" s="2" t="s">
        <v>8</v>
      </c>
      <c r="D160" s="2">
        <v>3991021</v>
      </c>
    </row>
    <row r="161" spans="1:4">
      <c r="A161">
        <v>2022</v>
      </c>
      <c r="B161" t="s">
        <v>20</v>
      </c>
      <c r="C161" s="2" t="s">
        <v>9</v>
      </c>
      <c r="D161" s="2">
        <v>4248621</v>
      </c>
    </row>
    <row r="162" spans="1:4">
      <c r="A162">
        <v>2022</v>
      </c>
      <c r="B162" t="s">
        <v>20</v>
      </c>
      <c r="C162" s="2" t="s">
        <v>2</v>
      </c>
      <c r="D162" s="2">
        <v>4580838</v>
      </c>
    </row>
    <row r="163" spans="1:4">
      <c r="A163">
        <v>2022</v>
      </c>
      <c r="B163" t="s">
        <v>20</v>
      </c>
      <c r="C163" s="2" t="s">
        <v>7</v>
      </c>
      <c r="D163" s="2">
        <v>5029138</v>
      </c>
    </row>
    <row r="164" spans="1:4">
      <c r="A164">
        <v>2022</v>
      </c>
      <c r="B164" t="s">
        <v>21</v>
      </c>
      <c r="C164" s="2" t="s">
        <v>1</v>
      </c>
      <c r="D164" s="2">
        <v>871738</v>
      </c>
    </row>
    <row r="165" spans="1:4">
      <c r="A165">
        <v>2022</v>
      </c>
      <c r="B165" t="s">
        <v>21</v>
      </c>
      <c r="C165" s="2" t="s">
        <v>3</v>
      </c>
      <c r="D165" s="2">
        <v>1497633</v>
      </c>
    </row>
    <row r="166" spans="1:4">
      <c r="A166">
        <v>2022</v>
      </c>
      <c r="B166" t="s">
        <v>21</v>
      </c>
      <c r="C166" s="2" t="s">
        <v>10</v>
      </c>
      <c r="D166" s="2">
        <v>2545604</v>
      </c>
    </row>
    <row r="167" spans="1:4">
      <c r="A167">
        <v>2022</v>
      </c>
      <c r="B167" t="s">
        <v>21</v>
      </c>
      <c r="C167" s="2" t="s">
        <v>5</v>
      </c>
      <c r="D167" s="2">
        <v>3240303</v>
      </c>
    </row>
    <row r="168" spans="1:4">
      <c r="A168">
        <v>2022</v>
      </c>
      <c r="B168" t="s">
        <v>21</v>
      </c>
      <c r="C168" s="2" t="s">
        <v>6</v>
      </c>
      <c r="D168" s="2">
        <v>3836604</v>
      </c>
    </row>
    <row r="169" spans="1:4">
      <c r="A169">
        <v>2022</v>
      </c>
      <c r="B169" t="s">
        <v>21</v>
      </c>
      <c r="C169" s="2" t="s">
        <v>11</v>
      </c>
      <c r="D169" s="2">
        <v>4619948</v>
      </c>
    </row>
    <row r="170" spans="1:4">
      <c r="A170">
        <v>2022</v>
      </c>
      <c r="B170" t="s">
        <v>21</v>
      </c>
      <c r="C170" s="2" t="s">
        <v>8</v>
      </c>
      <c r="D170" s="2">
        <v>4893991</v>
      </c>
    </row>
    <row r="171" spans="1:4">
      <c r="A171">
        <v>2022</v>
      </c>
      <c r="B171" t="s">
        <v>21</v>
      </c>
      <c r="C171" s="2" t="s">
        <v>9</v>
      </c>
      <c r="D171" s="2">
        <v>5201804</v>
      </c>
    </row>
    <row r="172" spans="1:4">
      <c r="A172">
        <v>2022</v>
      </c>
      <c r="B172" t="s">
        <v>21</v>
      </c>
      <c r="C172" s="2" t="s">
        <v>2</v>
      </c>
      <c r="D172" s="2">
        <v>5636112</v>
      </c>
    </row>
    <row r="173" spans="1:4">
      <c r="A173">
        <v>2022</v>
      </c>
      <c r="B173" t="s">
        <v>21</v>
      </c>
      <c r="C173" s="2" t="s">
        <v>7</v>
      </c>
      <c r="D173" s="2">
        <v>6225413</v>
      </c>
    </row>
    <row r="174" spans="1:4">
      <c r="A174">
        <v>2022</v>
      </c>
      <c r="B174" t="s">
        <v>22</v>
      </c>
      <c r="C174" s="2" t="s">
        <v>1</v>
      </c>
      <c r="D174" s="2">
        <v>1000639</v>
      </c>
    </row>
    <row r="175" spans="1:4">
      <c r="A175">
        <v>2022</v>
      </c>
      <c r="B175" t="s">
        <v>22</v>
      </c>
      <c r="C175" s="2" t="s">
        <v>3</v>
      </c>
      <c r="D175" s="2">
        <v>1751277</v>
      </c>
    </row>
    <row r="176" spans="1:4">
      <c r="A176">
        <v>2022</v>
      </c>
      <c r="B176" t="s">
        <v>22</v>
      </c>
      <c r="C176" s="2" t="s">
        <v>10</v>
      </c>
      <c r="D176" s="2">
        <v>3018315</v>
      </c>
    </row>
    <row r="177" spans="1:4">
      <c r="A177">
        <v>2022</v>
      </c>
      <c r="B177" t="s">
        <v>22</v>
      </c>
      <c r="C177" s="2" t="s">
        <v>5</v>
      </c>
      <c r="D177" s="2">
        <v>3804623</v>
      </c>
    </row>
    <row r="178" spans="1:4">
      <c r="A178">
        <v>2022</v>
      </c>
      <c r="B178" t="s">
        <v>22</v>
      </c>
      <c r="C178" s="2" t="s">
        <v>6</v>
      </c>
      <c r="D178" s="2">
        <v>4494657</v>
      </c>
    </row>
    <row r="179" spans="1:4">
      <c r="A179">
        <v>2022</v>
      </c>
      <c r="B179" t="s">
        <v>22</v>
      </c>
      <c r="C179" s="2" t="s">
        <v>11</v>
      </c>
      <c r="D179" s="2">
        <v>5422181</v>
      </c>
    </row>
    <row r="180" spans="1:4">
      <c r="A180">
        <v>2022</v>
      </c>
      <c r="B180" t="s">
        <v>22</v>
      </c>
      <c r="C180" s="2" t="s">
        <v>8</v>
      </c>
      <c r="D180" s="2">
        <v>5766614</v>
      </c>
    </row>
    <row r="181" spans="1:4">
      <c r="A181">
        <v>2022</v>
      </c>
      <c r="B181" t="s">
        <v>22</v>
      </c>
      <c r="C181" s="2" t="s">
        <v>9</v>
      </c>
      <c r="D181" s="2">
        <v>6121557</v>
      </c>
    </row>
    <row r="182" spans="1:4">
      <c r="A182">
        <v>2022</v>
      </c>
      <c r="B182" t="s">
        <v>22</v>
      </c>
      <c r="C182" s="2" t="s">
        <v>2</v>
      </c>
      <c r="D182" s="2">
        <v>6664385</v>
      </c>
    </row>
    <row r="183" spans="1:4">
      <c r="A183">
        <v>2022</v>
      </c>
      <c r="B183" t="s">
        <v>22</v>
      </c>
      <c r="C183" s="2" t="s">
        <v>7</v>
      </c>
      <c r="D183" s="2">
        <v>7394967</v>
      </c>
    </row>
    <row r="184" spans="1:4">
      <c r="A184">
        <v>2022</v>
      </c>
      <c r="B184" t="s">
        <v>23</v>
      </c>
      <c r="C184" s="2" t="s">
        <v>1</v>
      </c>
      <c r="D184" s="2">
        <v>1167755</v>
      </c>
    </row>
    <row r="185" spans="1:4">
      <c r="A185">
        <v>2022</v>
      </c>
      <c r="B185" t="s">
        <v>23</v>
      </c>
      <c r="C185" s="2" t="s">
        <v>3</v>
      </c>
      <c r="D185" s="2">
        <v>2077652</v>
      </c>
    </row>
    <row r="186" spans="1:4">
      <c r="A186">
        <v>2022</v>
      </c>
      <c r="B186" t="s">
        <v>23</v>
      </c>
      <c r="C186" s="2" t="s">
        <v>10</v>
      </c>
      <c r="D186" s="2">
        <v>3658120</v>
      </c>
    </row>
    <row r="187" spans="1:4">
      <c r="A187">
        <v>2022</v>
      </c>
      <c r="B187" t="s">
        <v>23</v>
      </c>
      <c r="C187" s="2" t="s">
        <v>5</v>
      </c>
      <c r="D187" s="2">
        <v>4578716</v>
      </c>
    </row>
    <row r="188" spans="1:4">
      <c r="A188">
        <v>2022</v>
      </c>
      <c r="B188" t="s">
        <v>23</v>
      </c>
      <c r="C188" s="2" t="s">
        <v>6</v>
      </c>
      <c r="D188" s="2">
        <v>5383177</v>
      </c>
    </row>
    <row r="189" spans="1:4">
      <c r="A189">
        <v>2022</v>
      </c>
      <c r="B189" t="s">
        <v>23</v>
      </c>
      <c r="C189" s="2" t="s">
        <v>11</v>
      </c>
      <c r="D189" s="2">
        <v>6460702</v>
      </c>
    </row>
    <row r="190" spans="1:4">
      <c r="A190">
        <v>2022</v>
      </c>
      <c r="B190" t="s">
        <v>23</v>
      </c>
      <c r="C190" s="2" t="s">
        <v>8</v>
      </c>
      <c r="D190" s="2">
        <v>6885148</v>
      </c>
    </row>
    <row r="191" spans="1:4">
      <c r="A191">
        <v>2022</v>
      </c>
      <c r="B191" t="s">
        <v>23</v>
      </c>
      <c r="C191" s="2" t="s">
        <v>9</v>
      </c>
      <c r="D191" s="2">
        <v>7307625</v>
      </c>
    </row>
    <row r="192" spans="1:4">
      <c r="A192">
        <v>2022</v>
      </c>
      <c r="B192" t="s">
        <v>23</v>
      </c>
      <c r="C192" s="2" t="s">
        <v>2</v>
      </c>
      <c r="D192" s="2">
        <v>7937472</v>
      </c>
    </row>
    <row r="193" spans="1:4">
      <c r="A193">
        <v>2022</v>
      </c>
      <c r="B193" t="s">
        <v>23</v>
      </c>
      <c r="C193" s="2" t="s">
        <v>7</v>
      </c>
      <c r="D193" s="2">
        <v>8771084</v>
      </c>
    </row>
    <row r="194" spans="1:4">
      <c r="A194">
        <v>2022</v>
      </c>
      <c r="B194" t="s">
        <v>24</v>
      </c>
      <c r="C194" s="2" t="s">
        <v>1</v>
      </c>
      <c r="D194" s="2">
        <v>1367467</v>
      </c>
    </row>
    <row r="195" spans="1:4">
      <c r="A195">
        <v>2022</v>
      </c>
      <c r="B195" t="s">
        <v>24</v>
      </c>
      <c r="C195" s="2" t="s">
        <v>3</v>
      </c>
      <c r="D195" s="2">
        <v>2372235</v>
      </c>
    </row>
    <row r="196" spans="1:4">
      <c r="A196">
        <v>2022</v>
      </c>
      <c r="B196" t="s">
        <v>24</v>
      </c>
      <c r="C196" s="2" t="s">
        <v>10</v>
      </c>
      <c r="D196" s="2">
        <v>4182173</v>
      </c>
    </row>
    <row r="197" spans="1:4">
      <c r="A197">
        <v>2022</v>
      </c>
      <c r="B197" t="s">
        <v>24</v>
      </c>
      <c r="C197" s="2" t="s">
        <v>5</v>
      </c>
      <c r="D197" s="2">
        <v>5197724</v>
      </c>
    </row>
    <row r="198" spans="1:4">
      <c r="A198">
        <v>2022</v>
      </c>
      <c r="B198" t="s">
        <v>24</v>
      </c>
      <c r="C198" s="2" t="s">
        <v>6</v>
      </c>
      <c r="D198" s="2">
        <v>6103933</v>
      </c>
    </row>
    <row r="199" spans="1:4">
      <c r="A199">
        <v>2022</v>
      </c>
      <c r="B199" t="s">
        <v>24</v>
      </c>
      <c r="C199" s="2" t="s">
        <v>11</v>
      </c>
      <c r="D199" s="2">
        <v>7330261</v>
      </c>
    </row>
    <row r="200" spans="1:4">
      <c r="A200">
        <v>2022</v>
      </c>
      <c r="B200" t="s">
        <v>24</v>
      </c>
      <c r="C200" s="2" t="s">
        <v>8</v>
      </c>
      <c r="D200" s="2">
        <v>7787337</v>
      </c>
    </row>
    <row r="201" spans="1:4">
      <c r="A201">
        <v>2022</v>
      </c>
      <c r="B201" t="s">
        <v>24</v>
      </c>
      <c r="C201" s="2" t="s">
        <v>9</v>
      </c>
      <c r="D201" s="2">
        <v>8286178</v>
      </c>
    </row>
    <row r="202" spans="1:4">
      <c r="A202">
        <v>2022</v>
      </c>
      <c r="B202" t="s">
        <v>24</v>
      </c>
      <c r="C202" s="2" t="s">
        <v>2</v>
      </c>
      <c r="D202" s="2">
        <v>8969302</v>
      </c>
    </row>
    <row r="203" spans="1:4">
      <c r="A203">
        <v>2022</v>
      </c>
      <c r="B203" t="s">
        <v>24</v>
      </c>
      <c r="C203" s="2" t="s">
        <v>7</v>
      </c>
      <c r="D203" s="2">
        <v>9930821</v>
      </c>
    </row>
    <row r="204" spans="1:4">
      <c r="A204">
        <v>2022</v>
      </c>
      <c r="B204" t="s">
        <v>25</v>
      </c>
      <c r="C204" s="2" t="s">
        <v>1</v>
      </c>
      <c r="D204" s="2">
        <v>1498110</v>
      </c>
    </row>
    <row r="205" spans="1:4">
      <c r="A205">
        <v>2022</v>
      </c>
      <c r="B205" t="s">
        <v>25</v>
      </c>
      <c r="C205" s="2" t="s">
        <v>3</v>
      </c>
      <c r="D205" s="2">
        <v>2643662</v>
      </c>
    </row>
    <row r="206" spans="1:4">
      <c r="A206">
        <v>2022</v>
      </c>
      <c r="B206" t="s">
        <v>25</v>
      </c>
      <c r="C206" s="2" t="s">
        <v>10</v>
      </c>
      <c r="D206" s="2">
        <v>4700659</v>
      </c>
    </row>
    <row r="207" spans="1:4">
      <c r="A207">
        <v>2022</v>
      </c>
      <c r="B207" t="s">
        <v>25</v>
      </c>
      <c r="C207" s="2" t="s">
        <v>5</v>
      </c>
      <c r="D207" s="2">
        <v>5845183</v>
      </c>
    </row>
    <row r="208" spans="1:4">
      <c r="A208">
        <v>2022</v>
      </c>
      <c r="B208" t="s">
        <v>25</v>
      </c>
      <c r="C208" s="2" t="s">
        <v>6</v>
      </c>
      <c r="D208" s="2">
        <v>6896126</v>
      </c>
    </row>
    <row r="209" spans="1:4">
      <c r="A209">
        <v>2022</v>
      </c>
      <c r="B209" t="s">
        <v>25</v>
      </c>
      <c r="C209" s="2" t="s">
        <v>11</v>
      </c>
      <c r="D209" s="2">
        <v>9288275</v>
      </c>
    </row>
    <row r="210" spans="1:4">
      <c r="A210">
        <v>2022</v>
      </c>
      <c r="B210" t="s">
        <v>25</v>
      </c>
      <c r="C210" s="2" t="s">
        <v>8</v>
      </c>
      <c r="D210" s="2">
        <v>8812681</v>
      </c>
    </row>
    <row r="211" spans="1:4">
      <c r="A211">
        <v>2022</v>
      </c>
      <c r="B211" t="s">
        <v>25</v>
      </c>
      <c r="C211" s="2" t="s">
        <v>9</v>
      </c>
      <c r="D211" s="2">
        <v>9409905</v>
      </c>
    </row>
    <row r="212" spans="1:4">
      <c r="A212">
        <v>2022</v>
      </c>
      <c r="B212" t="s">
        <v>25</v>
      </c>
      <c r="C212" s="2" t="s">
        <v>2</v>
      </c>
      <c r="D212" s="2">
        <v>10239682</v>
      </c>
    </row>
    <row r="213" spans="1:4">
      <c r="A213">
        <v>2022</v>
      </c>
      <c r="B213" t="s">
        <v>25</v>
      </c>
      <c r="C213" s="2" t="s">
        <v>7</v>
      </c>
      <c r="D213" s="2">
        <v>11350093</v>
      </c>
    </row>
    <row r="214" spans="1:4">
      <c r="A214">
        <v>2022</v>
      </c>
      <c r="B214" t="s">
        <v>26</v>
      </c>
      <c r="C214" s="2" t="s">
        <v>1</v>
      </c>
      <c r="D214" s="2">
        <v>1656882</v>
      </c>
    </row>
    <row r="215" spans="1:4">
      <c r="A215">
        <v>2022</v>
      </c>
      <c r="B215" t="s">
        <v>26</v>
      </c>
      <c r="C215" s="2" t="s">
        <v>3</v>
      </c>
      <c r="D215" s="2">
        <v>2917332</v>
      </c>
    </row>
    <row r="216" spans="1:4">
      <c r="A216">
        <v>2022</v>
      </c>
      <c r="B216" t="s">
        <v>26</v>
      </c>
      <c r="C216" s="2" t="s">
        <v>10</v>
      </c>
      <c r="D216" s="2">
        <v>5221289</v>
      </c>
    </row>
    <row r="217" spans="1:4">
      <c r="A217">
        <v>2022</v>
      </c>
      <c r="B217" t="s">
        <v>26</v>
      </c>
      <c r="C217" s="2" t="s">
        <v>5</v>
      </c>
      <c r="D217" s="2">
        <v>6525712</v>
      </c>
    </row>
    <row r="218" spans="1:4">
      <c r="A218">
        <v>2022</v>
      </c>
      <c r="B218" t="s">
        <v>26</v>
      </c>
      <c r="C218" s="2" t="s">
        <v>6</v>
      </c>
      <c r="D218" s="2">
        <v>8899735</v>
      </c>
    </row>
    <row r="219" spans="1:4">
      <c r="A219">
        <v>2022</v>
      </c>
      <c r="B219" t="s">
        <v>26</v>
      </c>
      <c r="C219" s="2" t="s">
        <v>11</v>
      </c>
      <c r="D219" s="2">
        <v>10207705</v>
      </c>
    </row>
    <row r="220" spans="1:4">
      <c r="A220">
        <v>2022</v>
      </c>
      <c r="B220" t="s">
        <v>26</v>
      </c>
      <c r="C220" s="2" t="s">
        <v>8</v>
      </c>
      <c r="D220" s="2">
        <v>9811794</v>
      </c>
    </row>
    <row r="221" spans="1:4">
      <c r="A221">
        <v>2022</v>
      </c>
      <c r="B221" t="s">
        <v>26</v>
      </c>
      <c r="C221" s="2" t="s">
        <v>9</v>
      </c>
      <c r="D221" s="2">
        <v>10444165</v>
      </c>
    </row>
    <row r="222" spans="1:4">
      <c r="A222">
        <v>2022</v>
      </c>
      <c r="B222" t="s">
        <v>26</v>
      </c>
      <c r="C222" s="2" t="s">
        <v>2</v>
      </c>
      <c r="D222" s="2">
        <v>11362491</v>
      </c>
    </row>
    <row r="223" spans="1:4">
      <c r="A223">
        <v>2022</v>
      </c>
      <c r="B223" t="s">
        <v>26</v>
      </c>
      <c r="C223" s="2" t="s">
        <v>7</v>
      </c>
      <c r="D223" s="2">
        <v>12612948</v>
      </c>
    </row>
    <row r="224" spans="1:4">
      <c r="A224">
        <v>2022</v>
      </c>
      <c r="B224" t="s">
        <v>14</v>
      </c>
      <c r="C224" s="2" t="s">
        <v>1</v>
      </c>
      <c r="D224" s="2">
        <v>1992526</v>
      </c>
    </row>
    <row r="225" spans="1:4">
      <c r="A225">
        <v>2022</v>
      </c>
      <c r="B225" t="s">
        <v>14</v>
      </c>
      <c r="C225" s="2" t="s">
        <v>3</v>
      </c>
      <c r="D225" s="2">
        <v>3138304</v>
      </c>
    </row>
    <row r="226" spans="1:4">
      <c r="A226">
        <v>2022</v>
      </c>
      <c r="B226" t="s">
        <v>14</v>
      </c>
      <c r="C226" s="2" t="s">
        <v>10</v>
      </c>
      <c r="D226" s="2">
        <v>5605175</v>
      </c>
    </row>
    <row r="227" spans="1:4">
      <c r="A227">
        <v>2022</v>
      </c>
      <c r="B227" t="s">
        <v>14</v>
      </c>
      <c r="C227" s="2" t="s">
        <v>5</v>
      </c>
      <c r="D227" s="2">
        <v>8010622</v>
      </c>
    </row>
    <row r="228" spans="1:4">
      <c r="A228">
        <v>2022</v>
      </c>
      <c r="B228" t="s">
        <v>14</v>
      </c>
      <c r="C228" s="2" t="s">
        <v>6</v>
      </c>
      <c r="D228" s="2">
        <v>10083485</v>
      </c>
    </row>
    <row r="229" spans="1:4">
      <c r="A229">
        <v>2022</v>
      </c>
      <c r="B229" t="s">
        <v>14</v>
      </c>
      <c r="C229" s="2" t="s">
        <v>11</v>
      </c>
      <c r="D229" s="2">
        <v>10908608</v>
      </c>
    </row>
    <row r="230" spans="1:4">
      <c r="A230">
        <v>2022</v>
      </c>
      <c r="B230" t="s">
        <v>14</v>
      </c>
      <c r="C230" s="2" t="s">
        <v>8</v>
      </c>
      <c r="D230" s="2">
        <v>10558042</v>
      </c>
    </row>
    <row r="231" spans="1:4">
      <c r="A231">
        <v>2022</v>
      </c>
      <c r="B231" t="s">
        <v>14</v>
      </c>
      <c r="C231" s="2" t="s">
        <v>9</v>
      </c>
      <c r="D231" s="2">
        <v>12916176</v>
      </c>
    </row>
    <row r="232" spans="1:4">
      <c r="A232">
        <v>2022</v>
      </c>
      <c r="B232" t="s">
        <v>14</v>
      </c>
      <c r="C232" s="2" t="s">
        <v>2</v>
      </c>
      <c r="D232" s="2">
        <v>12225874</v>
      </c>
    </row>
    <row r="233" spans="1:4">
      <c r="A233">
        <v>2022</v>
      </c>
      <c r="B233" t="s">
        <v>14</v>
      </c>
      <c r="C233" s="2" t="s">
        <v>7</v>
      </c>
      <c r="D233" s="2">
        <v>15593333</v>
      </c>
    </row>
    <row r="234" spans="1:4">
      <c r="A234">
        <v>2022</v>
      </c>
      <c r="B234" t="s">
        <v>27</v>
      </c>
      <c r="C234" s="2" t="s">
        <v>1</v>
      </c>
      <c r="D234" s="2">
        <v>2895611</v>
      </c>
    </row>
    <row r="235" spans="1:4">
      <c r="A235">
        <v>2022</v>
      </c>
      <c r="B235" t="s">
        <v>27</v>
      </c>
      <c r="C235" s="2" t="s">
        <v>3</v>
      </c>
      <c r="D235" s="2">
        <v>3297877</v>
      </c>
    </row>
    <row r="236" spans="1:4">
      <c r="A236">
        <v>2022</v>
      </c>
      <c r="B236" t="s">
        <v>27</v>
      </c>
      <c r="C236" s="2" t="s">
        <v>10</v>
      </c>
      <c r="D236" s="2">
        <v>5911321</v>
      </c>
    </row>
    <row r="237" spans="1:4">
      <c r="A237">
        <v>2022</v>
      </c>
      <c r="B237" t="s">
        <v>27</v>
      </c>
      <c r="C237" s="2" t="s">
        <v>5</v>
      </c>
      <c r="D237" s="2">
        <v>8413708</v>
      </c>
    </row>
    <row r="238" spans="1:4">
      <c r="A238">
        <v>2022</v>
      </c>
      <c r="B238" t="s">
        <v>27</v>
      </c>
      <c r="C238" s="2" t="s">
        <v>6</v>
      </c>
      <c r="D238" s="2">
        <v>10779330</v>
      </c>
    </row>
    <row r="239" spans="1:4">
      <c r="A239">
        <v>2022</v>
      </c>
      <c r="B239" t="s">
        <v>27</v>
      </c>
      <c r="C239" s="2" t="s">
        <v>11</v>
      </c>
      <c r="D239" s="2">
        <v>12492013</v>
      </c>
    </row>
    <row r="240" spans="1:4">
      <c r="A240">
        <v>2022</v>
      </c>
      <c r="B240" t="s">
        <v>27</v>
      </c>
      <c r="C240" s="2" t="s">
        <v>8</v>
      </c>
      <c r="D240" s="2">
        <v>11173863</v>
      </c>
    </row>
    <row r="241" spans="1:4">
      <c r="A241">
        <v>2022</v>
      </c>
      <c r="B241" t="s">
        <v>27</v>
      </c>
      <c r="C241" s="2" t="s">
        <v>9</v>
      </c>
      <c r="D241" s="2">
        <v>13879330</v>
      </c>
    </row>
    <row r="242" spans="1:4">
      <c r="A242">
        <v>2022</v>
      </c>
      <c r="B242" t="s">
        <v>27</v>
      </c>
      <c r="C242" s="2" t="s">
        <v>2</v>
      </c>
      <c r="D242" s="2">
        <v>12945791</v>
      </c>
    </row>
    <row r="243" spans="1:4">
      <c r="A243">
        <v>2022</v>
      </c>
      <c r="B243" t="s">
        <v>27</v>
      </c>
      <c r="C243" s="2" t="s">
        <v>7</v>
      </c>
      <c r="D243" s="2">
        <v>16433557</v>
      </c>
    </row>
    <row r="244" spans="1:4">
      <c r="A244">
        <v>2023</v>
      </c>
      <c r="B244" t="s">
        <v>17</v>
      </c>
      <c r="C244" s="2" t="s">
        <v>1</v>
      </c>
      <c r="D244" s="2">
        <v>194896</v>
      </c>
    </row>
    <row r="245" spans="1:4">
      <c r="A245">
        <v>2023</v>
      </c>
      <c r="B245" t="s">
        <v>17</v>
      </c>
      <c r="C245" s="2" t="s">
        <v>3</v>
      </c>
      <c r="D245" s="2">
        <v>338795</v>
      </c>
    </row>
    <row r="246" spans="1:4">
      <c r="A246">
        <v>2023</v>
      </c>
      <c r="B246" t="s">
        <v>17</v>
      </c>
      <c r="C246" s="2" t="s">
        <v>10</v>
      </c>
      <c r="D246" s="2">
        <v>620160</v>
      </c>
    </row>
    <row r="247" spans="1:4">
      <c r="A247">
        <v>2023</v>
      </c>
      <c r="B247" t="s">
        <v>17</v>
      </c>
      <c r="C247" s="2" t="s">
        <v>5</v>
      </c>
      <c r="D247" s="2">
        <v>732022</v>
      </c>
    </row>
    <row r="248" spans="1:4">
      <c r="A248">
        <v>2023</v>
      </c>
      <c r="B248" t="s">
        <v>17</v>
      </c>
      <c r="C248" s="2" t="s">
        <v>6</v>
      </c>
      <c r="D248" s="2">
        <v>885406</v>
      </c>
    </row>
    <row r="249" spans="1:4">
      <c r="A249">
        <v>2023</v>
      </c>
      <c r="B249" t="s">
        <v>17</v>
      </c>
      <c r="C249" s="2" t="s">
        <v>11</v>
      </c>
      <c r="D249" s="2">
        <v>1072499</v>
      </c>
    </row>
    <row r="250" spans="1:4">
      <c r="A250">
        <v>2023</v>
      </c>
      <c r="B250" t="s">
        <v>17</v>
      </c>
      <c r="C250" s="2" t="s">
        <v>8</v>
      </c>
      <c r="D250" s="2">
        <v>1148750</v>
      </c>
    </row>
    <row r="251" spans="1:4">
      <c r="A251">
        <v>2023</v>
      </c>
      <c r="B251" t="s">
        <v>17</v>
      </c>
      <c r="C251" s="2" t="s">
        <v>9</v>
      </c>
      <c r="D251" s="2">
        <v>1224085</v>
      </c>
    </row>
    <row r="252" spans="1:4">
      <c r="A252">
        <v>2023</v>
      </c>
      <c r="B252" t="s">
        <v>17</v>
      </c>
      <c r="C252" s="2" t="s">
        <v>2</v>
      </c>
      <c r="D252" s="2">
        <v>1346275</v>
      </c>
    </row>
    <row r="253" spans="1:4">
      <c r="A253">
        <v>2023</v>
      </c>
      <c r="B253" t="s">
        <v>17</v>
      </c>
      <c r="C253" s="2" t="s">
        <v>7</v>
      </c>
      <c r="D253" s="2">
        <v>1525673</v>
      </c>
    </row>
    <row r="254" spans="1:4">
      <c r="A254">
        <v>2023</v>
      </c>
      <c r="B254" t="s">
        <v>18</v>
      </c>
      <c r="C254" s="2" t="s">
        <v>1</v>
      </c>
      <c r="D254" s="2">
        <v>435858</v>
      </c>
    </row>
    <row r="255" spans="1:4">
      <c r="A255">
        <v>2023</v>
      </c>
      <c r="B255" t="s">
        <v>18</v>
      </c>
      <c r="C255" s="2" t="s">
        <v>3</v>
      </c>
      <c r="D255" s="2">
        <v>746421</v>
      </c>
    </row>
    <row r="256" spans="1:4">
      <c r="A256">
        <v>2023</v>
      </c>
      <c r="B256" t="s">
        <v>18</v>
      </c>
      <c r="C256" s="2" t="s">
        <v>10</v>
      </c>
      <c r="D256" s="2">
        <v>1290315</v>
      </c>
    </row>
    <row r="257" spans="1:4">
      <c r="A257">
        <v>2023</v>
      </c>
      <c r="B257" t="s">
        <v>18</v>
      </c>
      <c r="C257" s="2" t="s">
        <v>5</v>
      </c>
      <c r="D257" s="2">
        <v>1551135</v>
      </c>
    </row>
    <row r="258" spans="1:4">
      <c r="A258">
        <v>2023</v>
      </c>
      <c r="B258" t="s">
        <v>18</v>
      </c>
      <c r="C258" s="2" t="s">
        <v>6</v>
      </c>
      <c r="D258" s="2">
        <v>1853190</v>
      </c>
    </row>
    <row r="259" spans="1:4">
      <c r="A259">
        <v>2023</v>
      </c>
      <c r="B259" t="s">
        <v>18</v>
      </c>
      <c r="C259" s="2" t="s">
        <v>11</v>
      </c>
      <c r="D259" s="2">
        <v>2216308</v>
      </c>
    </row>
    <row r="260" spans="1:4">
      <c r="A260">
        <v>2023</v>
      </c>
      <c r="B260" t="s">
        <v>18</v>
      </c>
      <c r="C260" s="2" t="s">
        <v>8</v>
      </c>
      <c r="D260" s="2">
        <v>2350006</v>
      </c>
    </row>
    <row r="261" spans="1:4">
      <c r="A261">
        <v>2023</v>
      </c>
      <c r="B261" t="s">
        <v>18</v>
      </c>
      <c r="C261" s="2" t="s">
        <v>9</v>
      </c>
      <c r="D261" s="2">
        <v>2471413</v>
      </c>
    </row>
    <row r="262" spans="1:4">
      <c r="A262">
        <v>2023</v>
      </c>
      <c r="B262" t="s">
        <v>18</v>
      </c>
      <c r="C262" s="2" t="s">
        <v>2</v>
      </c>
      <c r="D262" s="2">
        <v>2718502</v>
      </c>
    </row>
    <row r="263" spans="1:4">
      <c r="A263">
        <v>2023</v>
      </c>
      <c r="B263" t="s">
        <v>18</v>
      </c>
      <c r="C263" s="2" t="s">
        <v>7</v>
      </c>
      <c r="D263" s="2">
        <v>3064820</v>
      </c>
    </row>
    <row r="264" spans="1:4">
      <c r="A264">
        <v>2023</v>
      </c>
      <c r="B264" t="s">
        <v>19</v>
      </c>
      <c r="C264" s="2" t="s">
        <v>1</v>
      </c>
      <c r="D264" s="2">
        <v>664481</v>
      </c>
    </row>
    <row r="265" spans="1:4">
      <c r="A265">
        <v>2023</v>
      </c>
      <c r="B265" t="s">
        <v>19</v>
      </c>
      <c r="C265" s="2" t="s">
        <v>3</v>
      </c>
      <c r="D265" s="2">
        <v>1185045</v>
      </c>
    </row>
    <row r="266" spans="1:4">
      <c r="A266">
        <v>2023</v>
      </c>
      <c r="B266" t="s">
        <v>19</v>
      </c>
      <c r="C266" s="2" t="s">
        <v>10</v>
      </c>
      <c r="D266" s="2">
        <v>1988337</v>
      </c>
    </row>
    <row r="267" spans="1:4">
      <c r="A267">
        <v>2023</v>
      </c>
      <c r="B267" t="s">
        <v>19</v>
      </c>
      <c r="C267" s="2" t="s">
        <v>5</v>
      </c>
      <c r="D267" s="2">
        <v>2408090</v>
      </c>
    </row>
    <row r="268" spans="1:4">
      <c r="A268">
        <v>2023</v>
      </c>
      <c r="B268" t="s">
        <v>19</v>
      </c>
      <c r="C268" s="2" t="s">
        <v>6</v>
      </c>
      <c r="D268" s="2">
        <v>2855816</v>
      </c>
    </row>
    <row r="269" spans="1:4">
      <c r="A269">
        <v>2023</v>
      </c>
      <c r="B269" t="s">
        <v>19</v>
      </c>
      <c r="C269" s="2" t="s">
        <v>11</v>
      </c>
      <c r="D269" s="2">
        <v>3402767</v>
      </c>
    </row>
    <row r="270" spans="1:4">
      <c r="A270">
        <v>2023</v>
      </c>
      <c r="B270" t="s">
        <v>19</v>
      </c>
      <c r="C270" s="2" t="s">
        <v>8</v>
      </c>
      <c r="D270" s="2">
        <v>3644039</v>
      </c>
    </row>
    <row r="271" spans="1:4">
      <c r="A271">
        <v>2023</v>
      </c>
      <c r="B271" t="s">
        <v>19</v>
      </c>
      <c r="C271" s="2" t="s">
        <v>9</v>
      </c>
      <c r="D271" s="2">
        <v>3884585</v>
      </c>
    </row>
    <row r="272" spans="1:4">
      <c r="A272">
        <v>2023</v>
      </c>
      <c r="B272" t="s">
        <v>19</v>
      </c>
      <c r="C272" s="2" t="s">
        <v>2</v>
      </c>
      <c r="D272" s="2">
        <v>4275659</v>
      </c>
    </row>
    <row r="273" spans="1:4">
      <c r="A273">
        <v>2023</v>
      </c>
      <c r="B273" t="s">
        <v>19</v>
      </c>
      <c r="C273" s="2" t="s">
        <v>7</v>
      </c>
      <c r="D273" s="2">
        <v>4766181</v>
      </c>
    </row>
    <row r="274" spans="1:4">
      <c r="A274">
        <v>2023</v>
      </c>
      <c r="B274" t="s">
        <v>20</v>
      </c>
      <c r="C274" s="2" t="s">
        <v>1</v>
      </c>
      <c r="D274" s="2">
        <v>824293</v>
      </c>
    </row>
    <row r="275" spans="1:4">
      <c r="A275">
        <v>2023</v>
      </c>
      <c r="B275" t="s">
        <v>20</v>
      </c>
      <c r="C275" s="2" t="s">
        <v>3</v>
      </c>
      <c r="D275" s="2">
        <v>1506591</v>
      </c>
    </row>
    <row r="276" spans="1:4">
      <c r="A276">
        <v>2023</v>
      </c>
      <c r="B276" t="s">
        <v>20</v>
      </c>
      <c r="C276" s="2" t="s">
        <v>10</v>
      </c>
      <c r="D276" s="2">
        <v>2592472</v>
      </c>
    </row>
    <row r="277" spans="1:4">
      <c r="A277">
        <v>2023</v>
      </c>
      <c r="B277" t="s">
        <v>20</v>
      </c>
      <c r="C277" s="2" t="s">
        <v>5</v>
      </c>
      <c r="D277" s="2">
        <v>3173240</v>
      </c>
    </row>
    <row r="278" spans="1:4">
      <c r="A278">
        <v>2023</v>
      </c>
      <c r="B278" t="s">
        <v>20</v>
      </c>
      <c r="C278" s="2" t="s">
        <v>6</v>
      </c>
      <c r="D278" s="2">
        <v>3802184</v>
      </c>
    </row>
    <row r="279" spans="1:4">
      <c r="A279">
        <v>2023</v>
      </c>
      <c r="B279" t="s">
        <v>20</v>
      </c>
      <c r="C279" s="2" t="s">
        <v>11</v>
      </c>
      <c r="D279" s="2">
        <v>4589082</v>
      </c>
    </row>
    <row r="280" spans="1:4">
      <c r="A280">
        <v>2023</v>
      </c>
      <c r="B280" t="s">
        <v>20</v>
      </c>
      <c r="C280" s="2" t="s">
        <v>8</v>
      </c>
      <c r="D280" s="2">
        <v>4944673</v>
      </c>
    </row>
    <row r="281" spans="1:4">
      <c r="A281">
        <v>2023</v>
      </c>
      <c r="B281" t="s">
        <v>20</v>
      </c>
      <c r="C281" s="2" t="s">
        <v>9</v>
      </c>
      <c r="D281" s="2">
        <v>5277254</v>
      </c>
    </row>
    <row r="282" spans="1:4">
      <c r="A282">
        <v>2023</v>
      </c>
      <c r="B282" t="s">
        <v>20</v>
      </c>
      <c r="C282" s="2" t="s">
        <v>2</v>
      </c>
      <c r="D282" s="2">
        <v>5833207</v>
      </c>
    </row>
    <row r="283" spans="1:4">
      <c r="A283">
        <v>2023</v>
      </c>
      <c r="B283" t="s">
        <v>20</v>
      </c>
      <c r="C283" s="2" t="s">
        <v>7</v>
      </c>
      <c r="D283" s="2">
        <v>6531278</v>
      </c>
    </row>
    <row r="284" spans="1:4">
      <c r="A284">
        <v>2023</v>
      </c>
      <c r="B284" t="s">
        <v>21</v>
      </c>
      <c r="C284" s="2" t="s">
        <v>1</v>
      </c>
      <c r="D284" s="2">
        <v>1005756</v>
      </c>
    </row>
    <row r="285" spans="1:4">
      <c r="A285">
        <v>2023</v>
      </c>
      <c r="B285" t="s">
        <v>21</v>
      </c>
      <c r="C285" s="2" t="s">
        <v>3</v>
      </c>
      <c r="D285" s="2">
        <v>1821678</v>
      </c>
    </row>
    <row r="286" spans="1:4">
      <c r="A286">
        <v>2023</v>
      </c>
      <c r="B286" t="s">
        <v>21</v>
      </c>
      <c r="C286" s="2" t="s">
        <v>10</v>
      </c>
      <c r="D286" s="2">
        <v>3174400</v>
      </c>
    </row>
    <row r="287" spans="1:4">
      <c r="A287">
        <v>2023</v>
      </c>
      <c r="B287" t="s">
        <v>21</v>
      </c>
      <c r="C287" s="2" t="s">
        <v>5</v>
      </c>
      <c r="D287" s="2">
        <v>3896973</v>
      </c>
    </row>
    <row r="288" spans="1:4">
      <c r="A288">
        <v>2023</v>
      </c>
      <c r="B288" t="s">
        <v>21</v>
      </c>
      <c r="C288" s="2" t="s">
        <v>6</v>
      </c>
      <c r="D288" s="2">
        <v>4673019</v>
      </c>
    </row>
    <row r="289" spans="1:4">
      <c r="A289">
        <v>2023</v>
      </c>
      <c r="B289" t="s">
        <v>21</v>
      </c>
      <c r="C289" s="2" t="s">
        <v>11</v>
      </c>
      <c r="D289" s="2">
        <v>5611981</v>
      </c>
    </row>
    <row r="290" spans="1:4">
      <c r="A290">
        <v>2023</v>
      </c>
      <c r="B290" t="s">
        <v>21</v>
      </c>
      <c r="C290" s="2" t="s">
        <v>8</v>
      </c>
      <c r="D290" s="2">
        <v>6040123</v>
      </c>
    </row>
    <row r="291" spans="1:4">
      <c r="A291">
        <v>2023</v>
      </c>
      <c r="B291" t="s">
        <v>21</v>
      </c>
      <c r="C291" s="2" t="s">
        <v>9</v>
      </c>
      <c r="D291" s="2">
        <v>6424381</v>
      </c>
    </row>
    <row r="292" spans="1:4">
      <c r="A292">
        <v>2023</v>
      </c>
      <c r="B292" t="s">
        <v>21</v>
      </c>
      <c r="C292" s="2" t="s">
        <v>2</v>
      </c>
      <c r="D292" s="2">
        <v>7104980</v>
      </c>
    </row>
    <row r="293" spans="1:4">
      <c r="A293">
        <v>2023</v>
      </c>
      <c r="B293" t="s">
        <v>21</v>
      </c>
      <c r="C293" s="2" t="s">
        <v>7</v>
      </c>
      <c r="D293" s="2">
        <v>7981055</v>
      </c>
    </row>
    <row r="294" spans="1:4">
      <c r="A294">
        <v>2023</v>
      </c>
      <c r="B294" t="s">
        <v>22</v>
      </c>
      <c r="C294" s="2" t="s">
        <v>1</v>
      </c>
      <c r="D294" s="2">
        <v>1167540</v>
      </c>
    </row>
    <row r="295" spans="1:4">
      <c r="A295">
        <v>2023</v>
      </c>
      <c r="B295" t="s">
        <v>22</v>
      </c>
      <c r="C295" s="2" t="s">
        <v>3</v>
      </c>
      <c r="D295" s="2">
        <v>2120822</v>
      </c>
    </row>
    <row r="296" spans="1:4">
      <c r="A296">
        <v>2023</v>
      </c>
      <c r="B296" t="s">
        <v>22</v>
      </c>
      <c r="C296" s="2" t="s">
        <v>10</v>
      </c>
      <c r="D296" s="2">
        <v>3681678</v>
      </c>
    </row>
    <row r="297" spans="1:4">
      <c r="A297">
        <v>2023</v>
      </c>
      <c r="B297" t="s">
        <v>22</v>
      </c>
      <c r="C297" s="2" t="s">
        <v>5</v>
      </c>
      <c r="D297" s="2">
        <v>4517921</v>
      </c>
    </row>
    <row r="298" spans="1:4">
      <c r="A298">
        <v>2023</v>
      </c>
      <c r="B298" t="s">
        <v>22</v>
      </c>
      <c r="C298" s="2" t="s">
        <v>6</v>
      </c>
      <c r="D298" s="2">
        <v>5415008</v>
      </c>
    </row>
    <row r="299" spans="1:4">
      <c r="A299">
        <v>2023</v>
      </c>
      <c r="B299" t="s">
        <v>22</v>
      </c>
      <c r="C299" s="2" t="s">
        <v>11</v>
      </c>
      <c r="D299" s="2">
        <v>6509897</v>
      </c>
    </row>
    <row r="300" spans="1:4">
      <c r="A300">
        <v>2023</v>
      </c>
      <c r="B300" t="s">
        <v>22</v>
      </c>
      <c r="C300" s="2" t="s">
        <v>8</v>
      </c>
      <c r="D300" s="2">
        <v>7001288</v>
      </c>
    </row>
    <row r="301" spans="1:4">
      <c r="A301">
        <v>2023</v>
      </c>
      <c r="B301" t="s">
        <v>22</v>
      </c>
      <c r="C301" s="2" t="s">
        <v>9</v>
      </c>
      <c r="D301" s="2">
        <v>7478609</v>
      </c>
    </row>
    <row r="302" spans="1:4">
      <c r="A302">
        <v>2023</v>
      </c>
      <c r="B302" t="s">
        <v>22</v>
      </c>
      <c r="C302" s="2" t="s">
        <v>2</v>
      </c>
      <c r="D302" s="2">
        <v>8252448</v>
      </c>
    </row>
    <row r="303" spans="1:4">
      <c r="A303">
        <v>2023</v>
      </c>
      <c r="B303" t="s">
        <v>22</v>
      </c>
      <c r="C303" s="2" t="s">
        <v>7</v>
      </c>
      <c r="D303" s="2">
        <v>9271427</v>
      </c>
    </row>
    <row r="304" spans="1:4">
      <c r="A304">
        <v>2023</v>
      </c>
      <c r="B304" t="s">
        <v>23</v>
      </c>
      <c r="C304" s="2" t="s">
        <v>1</v>
      </c>
      <c r="D304" s="2">
        <v>1368424</v>
      </c>
    </row>
    <row r="305" spans="1:4">
      <c r="A305">
        <v>2023</v>
      </c>
      <c r="B305" t="s">
        <v>23</v>
      </c>
      <c r="C305" s="2" t="s">
        <v>3</v>
      </c>
      <c r="D305" s="2">
        <v>2459250</v>
      </c>
    </row>
    <row r="306" spans="1:4">
      <c r="A306">
        <v>2023</v>
      </c>
      <c r="B306" t="s">
        <v>23</v>
      </c>
      <c r="C306" s="2" t="s">
        <v>10</v>
      </c>
      <c r="D306" s="2">
        <v>4413295</v>
      </c>
    </row>
    <row r="307" spans="1:4">
      <c r="A307">
        <v>2023</v>
      </c>
      <c r="B307" t="s">
        <v>23</v>
      </c>
      <c r="C307" s="2" t="s">
        <v>5</v>
      </c>
      <c r="D307" s="2">
        <v>5413828</v>
      </c>
    </row>
    <row r="308" spans="1:4">
      <c r="A308">
        <v>2023</v>
      </c>
      <c r="B308" t="s">
        <v>23</v>
      </c>
      <c r="C308" s="2" t="s">
        <v>6</v>
      </c>
      <c r="D308" s="2">
        <v>6457126</v>
      </c>
    </row>
    <row r="309" spans="1:4">
      <c r="A309">
        <v>2023</v>
      </c>
      <c r="B309" t="s">
        <v>23</v>
      </c>
      <c r="C309" s="2" t="s">
        <v>11</v>
      </c>
      <c r="D309" s="2">
        <v>7731396</v>
      </c>
    </row>
    <row r="310" spans="1:4">
      <c r="A310">
        <v>2023</v>
      </c>
      <c r="B310" t="s">
        <v>23</v>
      </c>
      <c r="C310" s="2" t="s">
        <v>8</v>
      </c>
      <c r="D310" s="2">
        <v>8279548</v>
      </c>
    </row>
    <row r="311" spans="1:4">
      <c r="A311">
        <v>2023</v>
      </c>
      <c r="B311" t="s">
        <v>23</v>
      </c>
      <c r="C311" s="2" t="s">
        <v>9</v>
      </c>
      <c r="D311" s="2">
        <v>8856422</v>
      </c>
    </row>
    <row r="312" spans="1:4">
      <c r="A312">
        <v>2023</v>
      </c>
      <c r="B312" t="s">
        <v>23</v>
      </c>
      <c r="C312" s="2" t="s">
        <v>2</v>
      </c>
      <c r="D312" s="2">
        <v>9767755</v>
      </c>
    </row>
    <row r="313" spans="1:4">
      <c r="A313">
        <v>2023</v>
      </c>
      <c r="B313" t="s">
        <v>23</v>
      </c>
      <c r="C313" s="2" t="s">
        <v>7</v>
      </c>
      <c r="D313" s="2">
        <v>10974374</v>
      </c>
    </row>
    <row r="314" spans="1:4">
      <c r="A314">
        <v>2023</v>
      </c>
      <c r="B314" t="s">
        <v>24</v>
      </c>
      <c r="C314" s="2" t="s">
        <v>1</v>
      </c>
      <c r="D314" s="2">
        <v>1554877</v>
      </c>
    </row>
    <row r="315" spans="1:4">
      <c r="A315">
        <v>2023</v>
      </c>
      <c r="B315" t="s">
        <v>24</v>
      </c>
      <c r="C315" s="2" t="s">
        <v>3</v>
      </c>
      <c r="D315" s="2">
        <v>2770462</v>
      </c>
    </row>
    <row r="316" spans="1:4">
      <c r="A316">
        <v>2023</v>
      </c>
      <c r="B316" t="s">
        <v>24</v>
      </c>
      <c r="C316" s="2" t="s">
        <v>10</v>
      </c>
      <c r="D316" s="2">
        <v>4996536</v>
      </c>
    </row>
    <row r="317" spans="1:4">
      <c r="A317">
        <v>2023</v>
      </c>
      <c r="B317" t="s">
        <v>24</v>
      </c>
      <c r="C317" s="2" t="s">
        <v>5</v>
      </c>
      <c r="D317" s="2">
        <v>6162660</v>
      </c>
    </row>
    <row r="318" spans="1:4">
      <c r="A318">
        <v>2023</v>
      </c>
      <c r="B318" t="s">
        <v>24</v>
      </c>
      <c r="C318" s="2" t="s">
        <v>6</v>
      </c>
      <c r="D318" s="2">
        <v>6958394</v>
      </c>
    </row>
    <row r="319" spans="1:4">
      <c r="A319">
        <v>2023</v>
      </c>
      <c r="B319" t="s">
        <v>24</v>
      </c>
      <c r="C319" s="2" t="s">
        <v>11</v>
      </c>
      <c r="D319" s="2">
        <v>8818122</v>
      </c>
    </row>
    <row r="320" spans="1:4">
      <c r="A320">
        <v>2023</v>
      </c>
      <c r="B320" t="s">
        <v>24</v>
      </c>
      <c r="C320" s="2" t="s">
        <v>8</v>
      </c>
      <c r="D320" s="2">
        <v>9437711</v>
      </c>
    </row>
    <row r="321" spans="1:4">
      <c r="A321">
        <v>2023</v>
      </c>
      <c r="B321" t="s">
        <v>24</v>
      </c>
      <c r="C321" s="2" t="s">
        <v>9</v>
      </c>
      <c r="D321" s="2">
        <v>10124516</v>
      </c>
    </row>
    <row r="322" spans="1:4">
      <c r="A322">
        <v>2023</v>
      </c>
      <c r="B322" t="s">
        <v>24</v>
      </c>
      <c r="C322" s="2" t="s">
        <v>2</v>
      </c>
      <c r="D322" s="2">
        <v>11148062</v>
      </c>
    </row>
    <row r="323" spans="1:4">
      <c r="A323">
        <v>2023</v>
      </c>
      <c r="B323" t="s">
        <v>24</v>
      </c>
      <c r="C323" s="2" t="s">
        <v>7</v>
      </c>
      <c r="D323" s="2">
        <v>12523055</v>
      </c>
    </row>
    <row r="324" spans="1:4">
      <c r="A324">
        <v>2023</v>
      </c>
      <c r="B324" t="s">
        <v>25</v>
      </c>
      <c r="C324" s="2" t="s">
        <v>1</v>
      </c>
      <c r="D324" s="2">
        <v>1651361</v>
      </c>
    </row>
    <row r="325" spans="1:4">
      <c r="A325">
        <v>2023</v>
      </c>
      <c r="B325" t="s">
        <v>25</v>
      </c>
      <c r="C325" s="2" t="s">
        <v>3</v>
      </c>
      <c r="D325" s="2">
        <v>3040197</v>
      </c>
    </row>
    <row r="326" spans="1:4">
      <c r="A326">
        <v>2023</v>
      </c>
      <c r="B326" t="s">
        <v>25</v>
      </c>
      <c r="C326" s="2" t="s">
        <v>10</v>
      </c>
      <c r="D326" s="2">
        <v>5461168</v>
      </c>
    </row>
    <row r="327" spans="1:4">
      <c r="A327">
        <v>2023</v>
      </c>
      <c r="B327" t="s">
        <v>25</v>
      </c>
      <c r="C327" s="2" t="s">
        <v>5</v>
      </c>
      <c r="D327" s="2">
        <v>6730321</v>
      </c>
    </row>
    <row r="328" spans="1:4">
      <c r="A328">
        <v>2023</v>
      </c>
      <c r="B328" t="s">
        <v>25</v>
      </c>
      <c r="C328" s="2" t="s">
        <v>6</v>
      </c>
      <c r="D328" s="2">
        <v>7019046</v>
      </c>
    </row>
    <row r="329" spans="1:4">
      <c r="A329">
        <v>2023</v>
      </c>
      <c r="B329" t="s">
        <v>25</v>
      </c>
      <c r="C329" s="2" t="s">
        <v>11</v>
      </c>
      <c r="D329" s="2">
        <v>9620641</v>
      </c>
    </row>
    <row r="330" spans="1:4">
      <c r="A330">
        <v>2023</v>
      </c>
      <c r="B330" t="s">
        <v>25</v>
      </c>
      <c r="C330" s="2" t="s">
        <v>8</v>
      </c>
      <c r="D330" s="2">
        <v>10277653</v>
      </c>
    </row>
    <row r="331" spans="1:4">
      <c r="A331">
        <v>2023</v>
      </c>
      <c r="B331" t="s">
        <v>25</v>
      </c>
      <c r="C331" s="2" t="s">
        <v>9</v>
      </c>
      <c r="D331" s="2">
        <v>11047656</v>
      </c>
    </row>
    <row r="332" spans="1:4">
      <c r="A332">
        <v>2023</v>
      </c>
      <c r="B332" t="s">
        <v>25</v>
      </c>
      <c r="C332" s="2" t="s">
        <v>2</v>
      </c>
      <c r="D332" s="2">
        <v>12137441</v>
      </c>
    </row>
    <row r="333" spans="1:4">
      <c r="A333">
        <v>2023</v>
      </c>
      <c r="B333" t="s">
        <v>25</v>
      </c>
      <c r="C333" s="2" t="s">
        <v>7</v>
      </c>
      <c r="D333" s="2">
        <v>13623646</v>
      </c>
    </row>
    <row r="334" spans="1:4">
      <c r="A334">
        <v>2023</v>
      </c>
      <c r="B334" t="s">
        <v>26</v>
      </c>
      <c r="C334" s="2" t="s">
        <v>1</v>
      </c>
      <c r="D334" s="2">
        <v>1805078</v>
      </c>
    </row>
    <row r="335" spans="1:4">
      <c r="A335">
        <v>2023</v>
      </c>
      <c r="B335" t="s">
        <v>26</v>
      </c>
      <c r="C335" s="2" t="s">
        <v>3</v>
      </c>
      <c r="D335" s="2">
        <v>3258007</v>
      </c>
    </row>
    <row r="336" spans="1:4">
      <c r="A336">
        <v>2023</v>
      </c>
      <c r="B336" t="s">
        <v>26</v>
      </c>
      <c r="C336" s="2" t="s">
        <v>10</v>
      </c>
      <c r="D336" s="2">
        <v>5899344</v>
      </c>
    </row>
    <row r="337" spans="1:4">
      <c r="A337">
        <v>2023</v>
      </c>
      <c r="B337" t="s">
        <v>26</v>
      </c>
      <c r="C337" s="2" t="s">
        <v>5</v>
      </c>
      <c r="D337" s="2">
        <v>7292551</v>
      </c>
    </row>
    <row r="338" spans="1:4">
      <c r="A338">
        <v>2023</v>
      </c>
      <c r="B338" t="s">
        <v>26</v>
      </c>
      <c r="C338" s="2" t="s">
        <v>6</v>
      </c>
      <c r="D338" s="2">
        <v>7679342</v>
      </c>
    </row>
    <row r="339" spans="1:4">
      <c r="A339">
        <v>2023</v>
      </c>
      <c r="B339" t="s">
        <v>26</v>
      </c>
      <c r="C339" s="2" t="s">
        <v>11</v>
      </c>
      <c r="D339" s="2">
        <v>10338785</v>
      </c>
    </row>
    <row r="340" spans="1:4">
      <c r="A340">
        <v>2023</v>
      </c>
      <c r="B340" t="s">
        <v>26</v>
      </c>
      <c r="C340" s="2" t="s">
        <v>8</v>
      </c>
      <c r="D340" s="2">
        <v>11020309</v>
      </c>
    </row>
    <row r="341" spans="1:4">
      <c r="A341">
        <v>2023</v>
      </c>
      <c r="B341" t="s">
        <v>26</v>
      </c>
      <c r="C341" s="2" t="s">
        <v>9</v>
      </c>
      <c r="D341" s="2">
        <v>10848116</v>
      </c>
    </row>
    <row r="342" spans="1:4">
      <c r="A342">
        <v>2023</v>
      </c>
      <c r="B342" t="s">
        <v>26</v>
      </c>
      <c r="C342" s="2" t="s">
        <v>2</v>
      </c>
      <c r="D342" s="2">
        <v>13005614</v>
      </c>
    </row>
    <row r="343" spans="1:4">
      <c r="A343">
        <v>2023</v>
      </c>
      <c r="B343" t="s">
        <v>26</v>
      </c>
      <c r="C343" s="2" t="s">
        <v>7</v>
      </c>
      <c r="D343" s="2">
        <v>14545472</v>
      </c>
    </row>
    <row r="344" spans="1:4">
      <c r="A344">
        <v>2023</v>
      </c>
      <c r="B344" t="s">
        <v>14</v>
      </c>
      <c r="C344" s="2" t="s">
        <v>1</v>
      </c>
      <c r="D344" s="2">
        <v>1944475</v>
      </c>
    </row>
    <row r="345" spans="1:4">
      <c r="A345">
        <v>2023</v>
      </c>
      <c r="B345" t="s">
        <v>14</v>
      </c>
      <c r="C345" s="2" t="s">
        <v>3</v>
      </c>
      <c r="D345" s="2">
        <v>3492694</v>
      </c>
    </row>
    <row r="346" spans="1:4">
      <c r="A346">
        <v>2023</v>
      </c>
      <c r="B346" t="s">
        <v>14</v>
      </c>
      <c r="C346" s="2" t="s">
        <v>10</v>
      </c>
      <c r="D346" s="2">
        <v>6417090</v>
      </c>
    </row>
    <row r="347" spans="1:4">
      <c r="A347">
        <v>2023</v>
      </c>
      <c r="B347" t="s">
        <v>14</v>
      </c>
      <c r="C347" s="2" t="s">
        <v>5</v>
      </c>
      <c r="D347" s="2">
        <v>7909364</v>
      </c>
    </row>
    <row r="348" spans="1:4">
      <c r="A348">
        <v>2023</v>
      </c>
      <c r="B348" t="s">
        <v>14</v>
      </c>
      <c r="C348" s="2" t="s">
        <v>6</v>
      </c>
      <c r="D348" s="2">
        <v>8021250</v>
      </c>
    </row>
    <row r="349" spans="1:4">
      <c r="A349">
        <v>2023</v>
      </c>
      <c r="B349" t="s">
        <v>14</v>
      </c>
      <c r="C349" s="2" t="s">
        <v>11</v>
      </c>
      <c r="D349" s="2">
        <v>11221387</v>
      </c>
    </row>
    <row r="350" spans="1:4">
      <c r="A350">
        <v>2023</v>
      </c>
      <c r="B350" t="s">
        <v>14</v>
      </c>
      <c r="C350" s="2" t="s">
        <v>8</v>
      </c>
      <c r="D350" s="2">
        <v>11975899</v>
      </c>
    </row>
    <row r="351" spans="1:4">
      <c r="A351">
        <v>2023</v>
      </c>
      <c r="B351" t="s">
        <v>14</v>
      </c>
      <c r="C351" s="2" t="s">
        <v>9</v>
      </c>
      <c r="D351" s="2">
        <v>11861490</v>
      </c>
    </row>
    <row r="352" spans="1:4">
      <c r="A352">
        <v>2023</v>
      </c>
      <c r="B352" t="s">
        <v>14</v>
      </c>
      <c r="C352" s="2" t="s">
        <v>2</v>
      </c>
      <c r="D352" s="2">
        <v>14083457</v>
      </c>
    </row>
    <row r="353" spans="1:4">
      <c r="A353">
        <v>2023</v>
      </c>
      <c r="B353" t="s">
        <v>14</v>
      </c>
      <c r="C353" s="2" t="s">
        <v>7</v>
      </c>
      <c r="D353" s="2">
        <v>15719956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8" ma:contentTypeDescription="Create a new document." ma:contentTypeScope="" ma:versionID="8aa3f68585f3313fa3d6d5d948255aef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8c75791bf4f61cd10d82e907445600a7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B0850C7-C7FD-4F10-AE22-9D04E09DC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389FF0-E070-4E21-A927-26216B15B7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11273C-A60E-4A8A-AC79-79EFAF633D0B}">
  <ds:schemaRefs>
    <ds:schemaRef ds:uri="http://schemas.microsoft.com/office/2006/documentManagement/types"/>
    <ds:schemaRef ds:uri="http://purl.org/dc/dcmitype/"/>
    <ds:schemaRef ds:uri="http://purl.org/dc/elements/1.1/"/>
    <ds:schemaRef ds:uri="8602ebc8-99ea-4c12-aabd-36e02eea0ec4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8ea0a048-5e79-414d-a984-5fa877d55858"/>
  </ds:schemaRefs>
</ds:datastoreItem>
</file>

<file path=customXml/itemProps4.xml><?xml version="1.0" encoding="utf-8"?>
<ds:datastoreItem xmlns:ds="http://schemas.openxmlformats.org/officeDocument/2006/customXml" ds:itemID="{A9FED6CC-6EDF-41D0-85FF-C13F0A7C14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Budget</vt:lpstr>
      <vt:lpstr>Actuals</vt:lpstr>
    </vt:vector>
  </TitlesOfParts>
  <Manager/>
  <Company>XelPlus.com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Leila Gharani</dc:creator>
  <cp:keywords/>
  <dc:description>This workbook is the property of XelPlus.com</dc:description>
  <cp:lastModifiedBy>Prashant</cp:lastModifiedBy>
  <dcterms:created xsi:type="dcterms:W3CDTF">2023-11-30T12:06:53Z</dcterms:created>
  <dcterms:modified xsi:type="dcterms:W3CDTF">2026-07-03T23:14:09Z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0x010100CF978176D7B6BC41934141C52985821B</vt:lpwstr>
  </property>
</Properties>
</file>